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emp\Desktop\Reports\"/>
    </mc:Choice>
  </mc:AlternateContent>
  <bookViews>
    <workbookView xWindow="0" yWindow="0" windowWidth="28800" windowHeight="13020" activeTab="1"/>
  </bookViews>
  <sheets>
    <sheet name="Page 1" sheetId="4" r:id="rId1"/>
    <sheet name="Sheet1" sheetId="2" r:id="rId2"/>
    <sheet name="Holidays" sheetId="3" r:id="rId3"/>
  </sheets>
  <definedNames>
    <definedName name="_xlnm._FilterDatabase" localSheetId="0" hidden="1">'Page 1'!$A$1:$I$883</definedName>
    <definedName name="_xlnm._FilterDatabase" localSheetId="1" hidden="1">Sheet1!$A$1:$IV$1</definedName>
  </definedNames>
  <calcPr calcId="152511"/>
</workbook>
</file>

<file path=xl/calcChain.xml><?xml version="1.0" encoding="utf-8"?>
<calcChain xmlns="http://schemas.openxmlformats.org/spreadsheetml/2006/main">
  <c r="W86" i="2" l="1"/>
  <c r="Y85" i="2"/>
  <c r="X85" i="2"/>
  <c r="W85" i="2"/>
  <c r="Y84" i="2"/>
  <c r="X84" i="2"/>
  <c r="W84" i="2"/>
  <c r="Y83" i="2"/>
  <c r="Z83" i="2" s="1"/>
  <c r="X83" i="2"/>
  <c r="W83" i="2"/>
  <c r="Y82" i="2"/>
  <c r="X82" i="2"/>
  <c r="X86" i="2" s="1"/>
  <c r="W82" i="2"/>
  <c r="O80" i="2"/>
  <c r="I80" i="2"/>
  <c r="F80" i="2" l="1"/>
  <c r="Z85" i="2"/>
  <c r="Z82" i="2"/>
  <c r="Z84" i="2"/>
  <c r="Y86" i="2"/>
  <c r="Z86" i="2" s="1"/>
</calcChain>
</file>

<file path=xl/comments1.xml><?xml version="1.0" encoding="utf-8"?>
<comments xmlns="http://schemas.openxmlformats.org/spreadsheetml/2006/main">
  <authors>
    <author xml:space="preserve">Ahn, Thomas </author>
  </authors>
  <commentList>
    <comment ref="O77" authorId="0" shapeId="0">
      <text>
        <r>
          <rPr>
            <b/>
            <sz val="9"/>
            <color indexed="81"/>
            <rFont val="Tahoma"/>
            <family val="2"/>
          </rPr>
          <t>Ahn, Thomas :</t>
        </r>
        <r>
          <rPr>
            <sz val="9"/>
            <color indexed="81"/>
            <rFont val="Tahoma"/>
            <family val="2"/>
          </rPr>
          <t xml:space="preserve">
1 assigned this week</t>
        </r>
      </text>
    </comment>
    <comment ref="F81" authorId="0" shapeId="0">
      <text>
        <r>
          <rPr>
            <b/>
            <sz val="9"/>
            <color indexed="81"/>
            <rFont val="Tahoma"/>
            <family val="2"/>
          </rPr>
          <t>Ahn, Thomas :</t>
        </r>
        <r>
          <rPr>
            <sz val="9"/>
            <color indexed="81"/>
            <rFont val="Tahoma"/>
            <family val="2"/>
          </rPr>
          <t xml:space="preserve">
From last week's report. Remember to use the previous week's report to populate this. Otherwise this data is outdated.</t>
        </r>
      </text>
    </comment>
  </commentList>
</comments>
</file>

<file path=xl/sharedStrings.xml><?xml version="1.0" encoding="utf-8"?>
<sst xmlns="http://schemas.openxmlformats.org/spreadsheetml/2006/main" count="4158" uniqueCount="371">
  <si>
    <t>Number</t>
  </si>
  <si>
    <t>Priority</t>
  </si>
  <si>
    <t>Opened</t>
  </si>
  <si>
    <t>Resolved</t>
  </si>
  <si>
    <t>Closed</t>
  </si>
  <si>
    <t>Assignment Group</t>
  </si>
  <si>
    <t>Assigned to Duration</t>
  </si>
  <si>
    <t>Short description</t>
  </si>
  <si>
    <t>Category</t>
  </si>
  <si>
    <t>Subcategory</t>
  </si>
  <si>
    <t>Item</t>
  </si>
  <si>
    <t>Definition 1</t>
  </si>
  <si>
    <t>Value 1</t>
  </si>
  <si>
    <t>Created 1</t>
  </si>
  <si>
    <t>Definition 2</t>
  </si>
  <si>
    <t>Value 2</t>
  </si>
  <si>
    <t>Created 2</t>
  </si>
  <si>
    <t>Diff between Created 1 &amp; 2</t>
  </si>
  <si>
    <t>Time to resolve or close (in days)</t>
  </si>
  <si>
    <t>New Year's Day</t>
  </si>
  <si>
    <t>Wednesday</t>
  </si>
  <si>
    <t>Martin Luther King Day</t>
  </si>
  <si>
    <t>Monday</t>
  </si>
  <si>
    <t>Presidents' Day</t>
  </si>
  <si>
    <t>Memorial Day</t>
  </si>
  <si>
    <t>Independence Day</t>
  </si>
  <si>
    <t>Friday</t>
  </si>
  <si>
    <t>Labor Day</t>
  </si>
  <si>
    <t>Columbus Day</t>
  </si>
  <si>
    <t>Veterans Day</t>
  </si>
  <si>
    <t>Tuesday</t>
  </si>
  <si>
    <t>Thanksgiving Day</t>
  </si>
  <si>
    <t>Thursday</t>
  </si>
  <si>
    <t>Christmas Day</t>
  </si>
  <si>
    <t>Independence Day (observed)</t>
  </si>
  <si>
    <t>Saturday</t>
  </si>
  <si>
    <t>Montana T Radke - montana.radke@gsa.gov</t>
  </si>
  <si>
    <t>3 - Moderate</t>
  </si>
  <si>
    <t>INC1832566</t>
  </si>
  <si>
    <t>FAS.T1.ETOOLS</t>
  </si>
  <si>
    <t>GSA.ESS</t>
  </si>
  <si>
    <t>Jesus A Flores - jesus.flores@gsa.gov</t>
  </si>
  <si>
    <t>INC1832557</t>
  </si>
  <si>
    <t>Alicia L Spears - alicia.spears@gsa.gov</t>
  </si>
  <si>
    <t>INC1832552</t>
  </si>
  <si>
    <t>INC1832543</t>
  </si>
  <si>
    <t>INC1832537</t>
  </si>
  <si>
    <t>Jessica A Miller - jessica.a.miller@gsa.gov</t>
  </si>
  <si>
    <t>INC1832520</t>
  </si>
  <si>
    <t>INC1832514</t>
  </si>
  <si>
    <t>Holland Rickrode - holland.rickrode@gsa.gov</t>
  </si>
  <si>
    <t>INC1832505</t>
  </si>
  <si>
    <t>INC1832497</t>
  </si>
  <si>
    <t>INC1832472</t>
  </si>
  <si>
    <t>INC1832458</t>
  </si>
  <si>
    <t>Justin K Clemons - justin.clemons@gsa.gov</t>
  </si>
  <si>
    <t>INC1832443</t>
  </si>
  <si>
    <t>INC1832438</t>
  </si>
  <si>
    <t>Robert S Paist - robert.paist@gsa.gov</t>
  </si>
  <si>
    <t>INC1832411</t>
  </si>
  <si>
    <t>Derek A Wilson - derek.wilson@gsa.gov</t>
  </si>
  <si>
    <t>INC1832407</t>
  </si>
  <si>
    <t>INC1832372</t>
  </si>
  <si>
    <t>INC1832365</t>
  </si>
  <si>
    <t>INC1832363</t>
  </si>
  <si>
    <t>FAS.T3.ECMS</t>
  </si>
  <si>
    <t>INC1832312</t>
  </si>
  <si>
    <t>Aisha Nazam - aisha.nazam@gsa.gov</t>
  </si>
  <si>
    <t>INC1832202</t>
  </si>
  <si>
    <t>FAS.T2.ETOOLS</t>
  </si>
  <si>
    <t>INC1832184</t>
  </si>
  <si>
    <t>FAS.T2.FSS Online</t>
  </si>
  <si>
    <t>INC1832041</t>
  </si>
  <si>
    <t>Mollie M Pickron - mollie.pickron@gsa.gov</t>
  </si>
  <si>
    <t>INC1832016</t>
  </si>
  <si>
    <t>INC1831983</t>
  </si>
  <si>
    <t>INC1831967</t>
  </si>
  <si>
    <t>Ellen M Dile - ellen.dile@gsa.gov</t>
  </si>
  <si>
    <t>INC1831882</t>
  </si>
  <si>
    <t>INC1831881</t>
  </si>
  <si>
    <t>INC1831828</t>
  </si>
  <si>
    <t>INC1831824</t>
  </si>
  <si>
    <t>INC1831768</t>
  </si>
  <si>
    <t>4 - Low</t>
  </si>
  <si>
    <t>INC1831742</t>
  </si>
  <si>
    <t>George D Starrett - george.starrett@gsa.gov</t>
  </si>
  <si>
    <t>INC1831732</t>
  </si>
  <si>
    <t>GSA.OCFO.SD</t>
  </si>
  <si>
    <t>Phyllis Staples - phyllis.staples@gsa.gov</t>
  </si>
  <si>
    <t>PBS NAH</t>
  </si>
  <si>
    <t>INC1831715</t>
  </si>
  <si>
    <t>INC1831672</t>
  </si>
  <si>
    <t>INC1831491</t>
  </si>
  <si>
    <t>INC1831404</t>
  </si>
  <si>
    <t>INC1831250</t>
  </si>
  <si>
    <t>INC1831217</t>
  </si>
  <si>
    <t>Anthony L Zaradich - anthony.zaradich@gsa.gov</t>
  </si>
  <si>
    <t>INC1831132</t>
  </si>
  <si>
    <t>INC1831032</t>
  </si>
  <si>
    <t>INC1831016</t>
  </si>
  <si>
    <t>INC1830980</t>
  </si>
  <si>
    <t>INC1830939</t>
  </si>
  <si>
    <t>Nazdar Dizeyee - nazdar.dizeyee@gsa.gov</t>
  </si>
  <si>
    <t>INC1830916</t>
  </si>
  <si>
    <t>INC1830898</t>
  </si>
  <si>
    <t>Hanyao Chen - david.chen@gsa.gov</t>
  </si>
  <si>
    <t>INC1830891</t>
  </si>
  <si>
    <t>INC1830796</t>
  </si>
  <si>
    <t>INC1830724</t>
  </si>
  <si>
    <t>INC1830610</t>
  </si>
  <si>
    <t>INC1830482</t>
  </si>
  <si>
    <t>INC1830413</t>
  </si>
  <si>
    <t>INC1830384</t>
  </si>
  <si>
    <t>INC1830368</t>
  </si>
  <si>
    <t>INC1830264</t>
  </si>
  <si>
    <t>Daniel W Starcher - daniel.starcher@gsa.gov</t>
  </si>
  <si>
    <t>INC1830259</t>
  </si>
  <si>
    <t>INC1830202</t>
  </si>
  <si>
    <t>INC1830175</t>
  </si>
  <si>
    <t>INC1830173</t>
  </si>
  <si>
    <t>OCFO.ETS2</t>
  </si>
  <si>
    <t>INC1830023</t>
  </si>
  <si>
    <t>INC1830009</t>
  </si>
  <si>
    <t>INC1829983</t>
  </si>
  <si>
    <t>INC1829977</t>
  </si>
  <si>
    <t>INC1829956</t>
  </si>
  <si>
    <t>INC1829939</t>
  </si>
  <si>
    <t>INC1829822</t>
  </si>
  <si>
    <t>INC1829806</t>
  </si>
  <si>
    <t>INC1829582</t>
  </si>
  <si>
    <t>INC1829580</t>
  </si>
  <si>
    <t>INC1829305</t>
  </si>
  <si>
    <t>INC1829125</t>
  </si>
  <si>
    <t>INC1828852</t>
  </si>
  <si>
    <t>INC1828817</t>
  </si>
  <si>
    <t>FAS.T2.OCMS</t>
  </si>
  <si>
    <t>INC1828003</t>
  </si>
  <si>
    <t>INC1827935</t>
  </si>
  <si>
    <t>INC1827859</t>
  </si>
  <si>
    <t>GSA-IT Service Desk Analysts</t>
  </si>
  <si>
    <t>INC1827848</t>
  </si>
  <si>
    <t>INC1827712</t>
  </si>
  <si>
    <t>Douglas O Atati - douglas.atati@gsa.gov</t>
  </si>
  <si>
    <t>INC1827576</t>
  </si>
  <si>
    <t xml:space="preserve">FAS.T3.SST </t>
  </si>
  <si>
    <t>Mark A Tumbaga - mark.tumbaga@gsa.gov</t>
  </si>
  <si>
    <t>INC1827507</t>
  </si>
  <si>
    <t>INC1827436</t>
  </si>
  <si>
    <t>INC1827355</t>
  </si>
  <si>
    <t>Alan J Weiman - alan.weiman@gsa.gov</t>
  </si>
  <si>
    <t>INC1827354</t>
  </si>
  <si>
    <t>FAS.T3.ConMgmt</t>
  </si>
  <si>
    <t>FAS.T2.ConMgmt</t>
  </si>
  <si>
    <t>INC1827308</t>
  </si>
  <si>
    <t>GSA.ENT-MISROUTED</t>
  </si>
  <si>
    <t>INC1827219</t>
  </si>
  <si>
    <t>INC1826065</t>
  </si>
  <si>
    <t>INC1826057</t>
  </si>
  <si>
    <t>INC1826003</t>
  </si>
  <si>
    <t>INC1825979</t>
  </si>
  <si>
    <t>INC1825950</t>
  </si>
  <si>
    <t>INC1825723</t>
  </si>
  <si>
    <t>INC1825577</t>
  </si>
  <si>
    <t>INC1825308</t>
  </si>
  <si>
    <t>INC1825077</t>
  </si>
  <si>
    <t>INC1824875</t>
  </si>
  <si>
    <t>INC1824547</t>
  </si>
  <si>
    <t>INC1824460</t>
  </si>
  <si>
    <t>INC1823629</t>
  </si>
  <si>
    <t>INC1823030</t>
  </si>
  <si>
    <t>INC1822882</t>
  </si>
  <si>
    <t>Sonja J Simpkins - sonja.simpkins@gsa.gov</t>
  </si>
  <si>
    <t>INC1822559</t>
  </si>
  <si>
    <t>INC1822187</t>
  </si>
  <si>
    <t>INC1822066</t>
  </si>
  <si>
    <t>INC1822047</t>
  </si>
  <si>
    <t>GSA.OCFO Analysts</t>
  </si>
  <si>
    <t>INC1821235</t>
  </si>
  <si>
    <t>INC1820209</t>
  </si>
  <si>
    <t>INC1819300</t>
  </si>
  <si>
    <t>INC1818993</t>
  </si>
  <si>
    <t>INC1818249</t>
  </si>
  <si>
    <t>INC1815255</t>
  </si>
  <si>
    <t>INC1813702</t>
  </si>
  <si>
    <t>INC1813125</t>
  </si>
  <si>
    <t>INC1811961</t>
  </si>
  <si>
    <t>INC1810713</t>
  </si>
  <si>
    <t>INC1810467</t>
  </si>
  <si>
    <t>INC1809977</t>
  </si>
  <si>
    <t>INC1809344</t>
  </si>
  <si>
    <t>INC1809320</t>
  </si>
  <si>
    <t>INC1809262</t>
  </si>
  <si>
    <t>INC1809169</t>
  </si>
  <si>
    <t>Norman J Rapalee - jay.rapalee@gsa.gov</t>
  </si>
  <si>
    <t>INC1809148</t>
  </si>
  <si>
    <t>INC1809072</t>
  </si>
  <si>
    <t>INC1808907</t>
  </si>
  <si>
    <t>INC1806479</t>
  </si>
  <si>
    <t>Asra A Shaik - asra.shaik@gsa.gov</t>
  </si>
  <si>
    <t>INC1805907</t>
  </si>
  <si>
    <t>INC1804993</t>
  </si>
  <si>
    <t>INC1802282</t>
  </si>
  <si>
    <t>Jerry Toy - jerry.toy@gsa.gov</t>
  </si>
  <si>
    <t>GSA.R02-NYC-Support</t>
  </si>
  <si>
    <t>Bobby J Thompson - bobby.thompson@gsa.gov</t>
  </si>
  <si>
    <t>INC1801962</t>
  </si>
  <si>
    <t>INC1799251</t>
  </si>
  <si>
    <t>INC1795234</t>
  </si>
  <si>
    <t>INC1794094</t>
  </si>
  <si>
    <t>INC1793300</t>
  </si>
  <si>
    <t>INC1786169</t>
  </si>
  <si>
    <t>INC1786165</t>
  </si>
  <si>
    <t>INC1783059</t>
  </si>
  <si>
    <t>INC1780881</t>
  </si>
  <si>
    <t>INC1777269</t>
  </si>
  <si>
    <t>INC1775489</t>
  </si>
  <si>
    <t>INC1771262</t>
  </si>
  <si>
    <t>INC1769856</t>
  </si>
  <si>
    <t>INC1765632</t>
  </si>
  <si>
    <t>INC1759170</t>
  </si>
  <si>
    <t>Walter W Poland - walter.poland@gsa.gov</t>
  </si>
  <si>
    <t>INC1752600</t>
  </si>
  <si>
    <t>INC1746561</t>
  </si>
  <si>
    <t>INC1746342</t>
  </si>
  <si>
    <t>INC1730915</t>
  </si>
  <si>
    <t>INC1726984</t>
  </si>
  <si>
    <t>INC1724450</t>
  </si>
  <si>
    <t>INC1722832</t>
  </si>
  <si>
    <t>INC1719544</t>
  </si>
  <si>
    <t>INC1719295</t>
  </si>
  <si>
    <t>INC1715774</t>
  </si>
  <si>
    <t>INC1713203</t>
  </si>
  <si>
    <t>INC1708694</t>
  </si>
  <si>
    <t>Kyle D Allen - kyle.allen@gsa.gov</t>
  </si>
  <si>
    <t>INC1708098</t>
  </si>
  <si>
    <t>FAS.T3.OCMS</t>
  </si>
  <si>
    <t>INC1703934</t>
  </si>
  <si>
    <t>INC1698839</t>
  </si>
  <si>
    <t>INC1697202</t>
  </si>
  <si>
    <t>INC1679918</t>
  </si>
  <si>
    <t>INC1675197</t>
  </si>
  <si>
    <t>INC1672346</t>
  </si>
  <si>
    <t>INC1672251</t>
  </si>
  <si>
    <t>INC1671372</t>
  </si>
  <si>
    <t>INC1656931</t>
  </si>
  <si>
    <t>INC1654353</t>
  </si>
  <si>
    <t>INC1646218</t>
  </si>
  <si>
    <t>INC1638124</t>
  </si>
  <si>
    <t>INC1632133</t>
  </si>
  <si>
    <t>INC1627089</t>
  </si>
  <si>
    <t>INC1621134</t>
  </si>
  <si>
    <t>INC1620710</t>
  </si>
  <si>
    <t>INC1620603</t>
  </si>
  <si>
    <t>INC1620249</t>
  </si>
  <si>
    <t>INC1620233</t>
  </si>
  <si>
    <t>INC1620208</t>
  </si>
  <si>
    <t>INC1620045</t>
  </si>
  <si>
    <t>INC1611932</t>
  </si>
  <si>
    <t>INC1603645</t>
  </si>
  <si>
    <t>INC1599982</t>
  </si>
  <si>
    <t>INC1599725</t>
  </si>
  <si>
    <t>INC1594906</t>
  </si>
  <si>
    <t>INC1590710</t>
  </si>
  <si>
    <t>INC1590564</t>
  </si>
  <si>
    <t>INC1565179</t>
  </si>
  <si>
    <t>INC1557601</t>
  </si>
  <si>
    <t>Hanyao  Chen - david.chen@gsa.gov</t>
  </si>
  <si>
    <t>INC1557583</t>
  </si>
  <si>
    <t>INC1551459</t>
  </si>
  <si>
    <t>GSA.GITGO.SD</t>
  </si>
  <si>
    <t>GSA.EASi.Tier2</t>
  </si>
  <si>
    <t>INC1545251</t>
  </si>
  <si>
    <t>INC1518089</t>
  </si>
  <si>
    <t>INC1505233</t>
  </si>
  <si>
    <t>INC1504854</t>
  </si>
  <si>
    <t>INC1500913</t>
  </si>
  <si>
    <t>INC1500912</t>
  </si>
  <si>
    <t>INC1500576</t>
  </si>
  <si>
    <t>INC1500359</t>
  </si>
  <si>
    <t>INC1499128</t>
  </si>
  <si>
    <t>INC1494066</t>
  </si>
  <si>
    <t>INC1485406</t>
  </si>
  <si>
    <t>INC1484776</t>
  </si>
  <si>
    <t>INC1480787</t>
  </si>
  <si>
    <t>INC1480765</t>
  </si>
  <si>
    <t>INC1480620</t>
  </si>
  <si>
    <t>INC1467219</t>
  </si>
  <si>
    <t>INC1451238</t>
  </si>
  <si>
    <t>INC1424744</t>
  </si>
  <si>
    <t>Steven L Milby - steven.milby@gsa.gov</t>
  </si>
  <si>
    <t>INC1411413</t>
  </si>
  <si>
    <t>INC1406626</t>
  </si>
  <si>
    <t>INC1389922</t>
  </si>
  <si>
    <t>INC1367068</t>
  </si>
  <si>
    <t>INC1354526</t>
  </si>
  <si>
    <t>INC1268433</t>
  </si>
  <si>
    <t>Eduardo A Castro - eduardo.castro@gsa.gov</t>
  </si>
  <si>
    <t>INC1217191</t>
  </si>
  <si>
    <t>INC1104559</t>
  </si>
  <si>
    <t>INC0972513</t>
  </si>
  <si>
    <t>Created</t>
  </si>
  <si>
    <t>Value</t>
  </si>
  <si>
    <t>Definition</t>
  </si>
  <si>
    <t>Not Assigned</t>
  </si>
  <si>
    <t>T2 Team was not the last assigned POC</t>
  </si>
  <si>
    <t>T2 Team was not the last assigned POC.  This incident has multiple entries.</t>
  </si>
  <si>
    <t>Multiple Assignments -Multiple Assignments -Hanyao Chen - david.chen@gsa.gov, FAS.T3.SST , Douglas O Atati - douglas.atati@gsa.gov</t>
  </si>
  <si>
    <t>9/20/2016 10:41:47 AM, 9/27/2016 9:49:42 AM, 9/27/2016 9:49:42 AM</t>
  </si>
  <si>
    <t>Douglas O Atati - douglas.atati@gsa.gov was the last to be assigned to this record</t>
  </si>
  <si>
    <t>Multiple Assignments -Multiple Assignments -Mark A Tumbaga - mark.tumbaga@gsa.gov, FAS.T3.SST , Douglas O Atati - douglas.atati@gsa.gov</t>
  </si>
  <si>
    <t>1/23/2017 12:26:28 PM, 1/25/2017 1:28:32 PM, 1/25/2017 1:28:32 PM</t>
  </si>
  <si>
    <t>1/17/2017 1:44:12 PM, 1/17/2017 1:45:14 PM, 1/17/2017 1:45:14 PM</t>
  </si>
  <si>
    <t>Multiple Assignments -Multiple Assignments -Mark A Tumbaga - mark.tumbaga@gsa.gov, FAS.T3.SST , Asra A Shaik - asra.shaik@gsa.gov</t>
  </si>
  <si>
    <t>1/19/2017 3:24:15 PM, 1/19/2017 7:45:48 PM, 1/19/2017 7:45:48 PM</t>
  </si>
  <si>
    <t>Asra A Shaik - asra.shaik@gsa.gov was the last to be assigned to this record</t>
  </si>
  <si>
    <t>Multiple Assignments -Mark A Tumbaga - mark.tumbaga@gsa.gov, Aisha Nazam - aisha.nazam@gsa.gov</t>
  </si>
  <si>
    <t>1/23/2017 4:46:33 PM, 2/10/2017 2:44:55 PM</t>
  </si>
  <si>
    <t>Aisha Nazam - aisha.nazam@gsa.gov was the last to be assigned to this record</t>
  </si>
  <si>
    <t>1/23/2017 7:14:50 PM, 2/10/2017 3:03:10 PM</t>
  </si>
  <si>
    <t>Multiple Assignments -Multiple Assignments -FAS.T3.SST , Douglas O Atati - douglas.atati@gsa.gov, George D Starrett - george.starrett@gsa.gov</t>
  </si>
  <si>
    <t>1/30/2017 1:29:53 PM, 2/1/2017 9:27:48 AM, 2/9/2017 3:13:53 PM</t>
  </si>
  <si>
    <t>George D Starrett - george.starrett@gsa.gov was the last to be assigned to this record</t>
  </si>
  <si>
    <t>Multiple Assignments -Multiple Assignments -Multiple Assignments -Multiple Assignments -Hanyao Chen - david.chen@gsa.gov, Hanyao Chen - david.chen@gsa.gov, FAS.T3.SST , Douglas O Atati - douglas.atati@gsa.gov, Aisha Nazam - aisha.nazam@gsa.gov</t>
  </si>
  <si>
    <t>1/31/2017 4:05:25 PM, 2/3/2017 10:41:28 AM, 2/3/2017 3:57:54 PM, 2/3/2017 3:57:54 PM, 2/7/2017 2:23:19 PM</t>
  </si>
  <si>
    <t>2/2/2017 12:58:31 PM, 2/6/2017 12:14:03 PM, 2/6/2017 12:14:03 PM</t>
  </si>
  <si>
    <t>2/6/2017 12:44:52 PM, 2/7/2017 1:25:44 PM, 2/7/2017 1:25:44 PM</t>
  </si>
  <si>
    <t>Hanyao Chen - david.chen@gsa.gov was the last to be assigned to this record</t>
  </si>
  <si>
    <t>2/3/2017 5:29:06 PM, 2/8/2017 7:05:30 PM, 2/8/2017 7:05:30 PM</t>
  </si>
  <si>
    <t>Multiple Assignments -Hanyao Chen - david.chen@gsa.gov, George D Starrett - george.starrett@gsa.gov</t>
  </si>
  <si>
    <t>2/6/2017 3:12:10 PM, 2/9/2017 12:46:03 PM</t>
  </si>
  <si>
    <t>2/6/2017 5:36:38 PM, 2/8/2017 1:49:45 PM, 2/8/2017 1:49:45 PM</t>
  </si>
  <si>
    <t>Multiple Assignments -Multiple Assignments -Multiple Assignments -Mark A Tumbaga - mark.tumbaga@gsa.gov, FAS.T3.SST , Douglas O Atati - douglas.atati@gsa.gov, George D Starrett - george.starrett@gsa.gov</t>
  </si>
  <si>
    <t>2/7/2017 4:13:58 PM, 2/7/2017 6:00:45 PM, 2/7/2017 6:00:45 PM, 2/9/2017 3:12:33 PM</t>
  </si>
  <si>
    <t>George D Starrett - george.starrett@gsa.gov was the last to be assigned to this record.  This incident has multiple entries.</t>
  </si>
  <si>
    <t>2/7/2017 4:14:25 PM, 2/10/2017 2:43:01 PM, 2/10/2017 2:43:01 PM</t>
  </si>
  <si>
    <t>Multiple Assignments -Aisha Nazam - aisha.nazam@gsa.gov, George D Starrett - george.starrett@gsa.gov</t>
  </si>
  <si>
    <t>2/8/2017 8:41:26 AM, 2/9/2017 12:58:35 PM</t>
  </si>
  <si>
    <t>Multiple Assignments -Aisha Nazam - aisha.nazam@gsa.gov, Hanyao Chen - david.chen@gsa.gov</t>
  </si>
  <si>
    <t>2/9/2017 9:02:20 AM, 2/9/2017 9:26:50 AM</t>
  </si>
  <si>
    <t>Multiple Assignments -Aisha Nazam - aisha.nazam@gsa.gov, Aisha Nazam - aisha.nazam@gsa.gov</t>
  </si>
  <si>
    <t>2/10/2017 10:46:53 AM, 2/10/2017 2:56:51 PM</t>
  </si>
  <si>
    <t>Aisha Nazam - aisha.nazam@gsa.gov was the last to be assigned to this record.  This incident has multiple entries.</t>
  </si>
  <si>
    <t>Keep grey spaces</t>
  </si>
  <si>
    <t>Total Assigned ("Created 1" date  within date range)</t>
  </si>
  <si>
    <t>Transferred (need to find manually)</t>
  </si>
  <si>
    <t>Opened and Transferred</t>
  </si>
  <si>
    <t>Transferred this week (From Closed)</t>
  </si>
  <si>
    <t>Opened and Closed</t>
  </si>
  <si>
    <t>Last Week Open</t>
  </si>
  <si>
    <t>Total</t>
  </si>
  <si>
    <t>Total Closed</t>
  </si>
  <si>
    <t>total count (All assigned to T2 individuals AND those empty but assigned to T2 AND Assigned to T3)</t>
  </si>
  <si>
    <t>Response SLA</t>
  </si>
  <si>
    <t>Check</t>
  </si>
  <si>
    <t>By Priority</t>
  </si>
  <si>
    <t>P Value</t>
  </si>
  <si>
    <t>Avg Response Time</t>
  </si>
  <si>
    <t>Count</t>
  </si>
  <si>
    <t>Count Yes</t>
  </si>
  <si>
    <t>Percentage</t>
  </si>
  <si>
    <t>1 - Critical</t>
  </si>
  <si>
    <t>P1</t>
  </si>
  <si>
    <t>2 - High</t>
  </si>
  <si>
    <t>P2</t>
  </si>
  <si>
    <t>Last Week Assigned</t>
  </si>
  <si>
    <t>INC Assigned</t>
  </si>
  <si>
    <t>INC Resolved</t>
  </si>
  <si>
    <t>INC Transferred</t>
  </si>
  <si>
    <t>Total Assigned</t>
  </si>
  <si>
    <t>P3</t>
  </si>
  <si>
    <t>P4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</si>
</sst>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/mm/dd\ hh:mm:ss"/>
    <numFmt numFmtId="165" formatCode="yyyy\-mm\-dd\ hh:mm:ss\ \a"/>
    <numFmt numFmtId="166" formatCode="[$-409]m/d/yy\ h:mm\ AM/PM;@"/>
    <numFmt numFmtId="167" formatCode="[h]:mm:ss;@"/>
  </numFmts>
  <fonts count="7" x14ac:knownFonts="1">
    <font>
      <sz val="10"/>
      <name val="Arial"/>
    </font>
    <font>
      <sz val="10"/>
      <name val="Arial"/>
      <family val="2"/>
    </font>
    <font>
      <sz val="12"/>
      <color theme="1"/>
      <name val="Arial"/>
      <family val="2"/>
    </font>
    <font>
      <sz val="11"/>
      <color rgb="FF353535"/>
      <name val="Arial"/>
      <family val="2"/>
    </font>
    <font>
      <b/>
      <sz val="10"/>
      <name val="Arial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indexed="3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</cellStyleXfs>
  <cellXfs count="45">
    <xf numFmtId="0" fontId="0" fillId="0" borderId="0" xfId="0"/>
    <xf numFmtId="164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2" fillId="0" borderId="0" xfId="1" applyAlignment="1">
      <alignment wrapText="1"/>
    </xf>
    <xf numFmtId="22" fontId="2" fillId="0" borderId="0" xfId="1" applyNumberFormat="1" applyAlignment="1">
      <alignment wrapText="1"/>
    </xf>
    <xf numFmtId="0" fontId="2" fillId="0" borderId="0" xfId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/>
    <xf numFmtId="22" fontId="0" fillId="0" borderId="0" xfId="0" applyNumberFormat="1"/>
    <xf numFmtId="0" fontId="0" fillId="2" borderId="0" xfId="0" applyFill="1" applyAlignment="1">
      <alignment vertical="top" wrapText="1"/>
    </xf>
    <xf numFmtId="2" fontId="2" fillId="0" borderId="0" xfId="1" applyNumberFormat="1" applyAlignment="1">
      <alignment wrapText="1"/>
    </xf>
    <xf numFmtId="2" fontId="2" fillId="0" borderId="0" xfId="1" applyNumberFormat="1"/>
    <xf numFmtId="2" fontId="0" fillId="0" borderId="0" xfId="0" applyNumberFormat="1"/>
    <xf numFmtId="15" fontId="1" fillId="0" borderId="0" xfId="2" applyNumberFormat="1"/>
    <xf numFmtId="0" fontId="1" fillId="0" borderId="0" xfId="2"/>
    <xf numFmtId="16" fontId="3" fillId="0" borderId="0" xfId="0" applyNumberFormat="1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16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165" fontId="0" fillId="0" borderId="0" xfId="0" applyNumberFormat="1" applyAlignment="1">
      <alignment vertical="top"/>
    </xf>
    <xf numFmtId="0" fontId="4" fillId="0" borderId="0" xfId="0" applyFont="1"/>
    <xf numFmtId="0" fontId="2" fillId="3" borderId="0" xfId="1" applyFill="1"/>
    <xf numFmtId="22" fontId="2" fillId="3" borderId="0" xfId="1" applyNumberFormat="1" applyFill="1"/>
    <xf numFmtId="166" fontId="0" fillId="3" borderId="0" xfId="0" applyNumberFormat="1" applyFill="1"/>
    <xf numFmtId="0" fontId="0" fillId="3" borderId="0" xfId="0" applyFill="1"/>
    <xf numFmtId="0" fontId="0" fillId="3" borderId="0" xfId="0" applyNumberFormat="1" applyFill="1"/>
    <xf numFmtId="164" fontId="0" fillId="0" borderId="0" xfId="0" applyNumberFormat="1" applyAlignment="1"/>
    <xf numFmtId="0" fontId="0" fillId="4" borderId="0" xfId="0" applyFill="1" applyAlignment="1">
      <alignment wrapText="1"/>
    </xf>
    <xf numFmtId="0" fontId="0" fillId="0" borderId="0" xfId="0" applyNumberFormat="1" applyAlignment="1"/>
    <xf numFmtId="0" fontId="0" fillId="5" borderId="0" xfId="0" applyFill="1" applyAlignment="1">
      <alignment wrapText="1"/>
    </xf>
    <xf numFmtId="0" fontId="0" fillId="0" borderId="0" xfId="0" applyFill="1"/>
    <xf numFmtId="167" fontId="0" fillId="6" borderId="0" xfId="0" applyNumberFormat="1" applyFill="1" applyAlignment="1">
      <alignment wrapText="1"/>
    </xf>
    <xf numFmtId="0" fontId="0" fillId="7" borderId="0" xfId="0" applyFill="1"/>
    <xf numFmtId="1" fontId="0" fillId="0" borderId="0" xfId="0" applyNumberFormat="1"/>
    <xf numFmtId="0" fontId="1" fillId="0" borderId="0" xfId="3"/>
    <xf numFmtId="0" fontId="1" fillId="0" borderId="0" xfId="3" applyFill="1"/>
    <xf numFmtId="10" fontId="0" fillId="0" borderId="0" xfId="4" applyNumberFormat="1" applyFont="1"/>
    <xf numFmtId="167" fontId="0" fillId="0" borderId="0" xfId="0" applyNumberFormat="1" applyAlignment="1">
      <alignment wrapText="1"/>
    </xf>
    <xf numFmtId="2" fontId="1" fillId="0" borderId="0" xfId="3" applyNumberFormat="1"/>
    <xf numFmtId="0" fontId="0" fillId="5" borderId="0" xfId="0" applyFill="1" applyAlignment="1"/>
    <xf numFmtId="0" fontId="2" fillId="0" borderId="0" xfId="1" applyFill="1"/>
    <xf numFmtId="22" fontId="2" fillId="0" borderId="0" xfId="1" applyNumberFormat="1" applyFill="1"/>
    <xf numFmtId="0" fontId="0" fillId="8" borderId="0" xfId="0" applyFill="1"/>
    <xf numFmtId="165" fontId="0" fillId="4" borderId="0" xfId="0" applyNumberFormat="1" applyFill="1" applyAlignment="1">
      <alignment vertical="top"/>
    </xf>
  </cellXfs>
  <cellStyles count="5">
    <cellStyle name="Normal" xfId="0" builtinId="0"/>
    <cellStyle name="Normal 2" xfId="1"/>
    <cellStyle name="Normal 3" xfId="2"/>
    <cellStyle name="Normal 4" xfId="3"/>
    <cellStyle name="Percent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83"/>
  <sheetViews>
    <sheetView workbookViewId="0">
      <pane ySplit="1" topLeftCell="A877" activePane="bottomLeft" state="frozen"/>
      <selection pane="bottomLeft" activeCell="I2" sqref="I2:I883"/>
    </sheetView>
  </sheetViews>
  <sheetFormatPr defaultRowHeight="12.75" x14ac:dyDescent="0.2"/>
  <cols>
    <col min="1" max="2" width="10" customWidth="1"/>
    <col min="3" max="3" width="18" customWidth="1"/>
    <col min="4" max="5" width="10" customWidth="1"/>
    <col min="6" max="8" width="18" customWidth="1"/>
  </cols>
  <sheetData>
    <row r="1" spans="1:9" x14ac:dyDescent="0.2">
      <c r="A1" s="21" t="s">
        <v>0</v>
      </c>
      <c r="B1" s="21" t="s">
        <v>1</v>
      </c>
      <c r="C1" s="21" t="s">
        <v>2</v>
      </c>
      <c r="D1" s="21" t="s">
        <v>302</v>
      </c>
      <c r="E1" s="21" t="s">
        <v>301</v>
      </c>
      <c r="F1" s="21" t="s">
        <v>300</v>
      </c>
      <c r="G1" s="21" t="s">
        <v>3</v>
      </c>
      <c r="H1" s="21" t="s">
        <v>4</v>
      </c>
    </row>
    <row r="2" spans="1:9" ht="25.5" x14ac:dyDescent="0.2">
      <c r="A2" s="2" t="s">
        <v>299</v>
      </c>
      <c r="B2" s="2" t="s">
        <v>83</v>
      </c>
      <c r="C2" s="20">
        <v>42016.631076388891</v>
      </c>
      <c r="D2" s="2" t="s">
        <v>5</v>
      </c>
      <c r="E2" s="2" t="s">
        <v>40</v>
      </c>
      <c r="F2" s="20">
        <v>42016.63113425926</v>
      </c>
      <c r="G2" s="20"/>
      <c r="H2" s="20"/>
      <c r="I2">
        <v>2</v>
      </c>
    </row>
    <row r="3" spans="1:9" ht="25.5" x14ac:dyDescent="0.2">
      <c r="A3" s="2" t="s">
        <v>299</v>
      </c>
      <c r="B3" s="2" t="s">
        <v>83</v>
      </c>
      <c r="C3" s="20">
        <v>42016.631076388891</v>
      </c>
      <c r="D3" s="2" t="s">
        <v>5</v>
      </c>
      <c r="E3" s="2" t="s">
        <v>65</v>
      </c>
      <c r="F3" s="20">
        <v>42016.636192129627</v>
      </c>
      <c r="G3" s="20"/>
      <c r="H3" s="20"/>
      <c r="I3">
        <v>3</v>
      </c>
    </row>
    <row r="4" spans="1:9" ht="63.75" x14ac:dyDescent="0.2">
      <c r="A4" s="2" t="s">
        <v>299</v>
      </c>
      <c r="B4" s="2" t="s">
        <v>83</v>
      </c>
      <c r="C4" s="20">
        <v>42016.631076388891</v>
      </c>
      <c r="D4" s="2" t="s">
        <v>6</v>
      </c>
      <c r="E4" s="2" t="s">
        <v>73</v>
      </c>
      <c r="F4" s="20">
        <v>42017.335243055553</v>
      </c>
      <c r="G4" s="20"/>
      <c r="H4" s="20"/>
      <c r="I4">
        <v>4</v>
      </c>
    </row>
    <row r="5" spans="1:9" ht="25.5" x14ac:dyDescent="0.2">
      <c r="A5" s="2" t="s">
        <v>299</v>
      </c>
      <c r="B5" s="2" t="s">
        <v>83</v>
      </c>
      <c r="C5" s="20">
        <v>42016.631076388891</v>
      </c>
      <c r="D5" s="2" t="s">
        <v>5</v>
      </c>
      <c r="E5" s="2" t="s">
        <v>71</v>
      </c>
      <c r="F5" s="20">
        <v>42018.402442129627</v>
      </c>
      <c r="G5" s="20"/>
      <c r="H5" s="20"/>
      <c r="I5">
        <v>5</v>
      </c>
    </row>
    <row r="6" spans="1:9" ht="51" x14ac:dyDescent="0.2">
      <c r="A6" s="2" t="s">
        <v>299</v>
      </c>
      <c r="B6" s="2" t="s">
        <v>83</v>
      </c>
      <c r="C6" s="20">
        <v>42016.631076388891</v>
      </c>
      <c r="D6" s="2" t="s">
        <v>6</v>
      </c>
      <c r="E6" s="2" t="s">
        <v>193</v>
      </c>
      <c r="F6" s="20">
        <v>42027.512407407405</v>
      </c>
      <c r="G6" s="20"/>
      <c r="H6" s="20"/>
      <c r="I6">
        <v>6</v>
      </c>
    </row>
    <row r="7" spans="1:9" ht="25.5" x14ac:dyDescent="0.2">
      <c r="A7" s="2" t="s">
        <v>299</v>
      </c>
      <c r="B7" s="2" t="s">
        <v>83</v>
      </c>
      <c r="C7" s="20">
        <v>42016.631076388891</v>
      </c>
      <c r="D7" s="2" t="s">
        <v>5</v>
      </c>
      <c r="E7" s="2" t="s">
        <v>39</v>
      </c>
      <c r="F7" s="20">
        <v>42438.638171296298</v>
      </c>
      <c r="G7" s="20"/>
      <c r="H7" s="20"/>
      <c r="I7">
        <v>7</v>
      </c>
    </row>
    <row r="8" spans="1:9" ht="63.75" x14ac:dyDescent="0.2">
      <c r="A8" s="2" t="s">
        <v>299</v>
      </c>
      <c r="B8" s="2" t="s">
        <v>83</v>
      </c>
      <c r="C8" s="20">
        <v>42016.631076388891</v>
      </c>
      <c r="D8" s="2" t="s">
        <v>6</v>
      </c>
      <c r="E8" s="2" t="s">
        <v>50</v>
      </c>
      <c r="F8" s="20">
        <v>42438.72320601852</v>
      </c>
      <c r="G8" s="20"/>
      <c r="H8" s="20"/>
      <c r="I8">
        <v>8</v>
      </c>
    </row>
    <row r="9" spans="1:9" ht="25.5" x14ac:dyDescent="0.2">
      <c r="A9" s="2" t="s">
        <v>299</v>
      </c>
      <c r="B9" s="2" t="s">
        <v>83</v>
      </c>
      <c r="C9" s="20">
        <v>42016.631076388891</v>
      </c>
      <c r="D9" s="2" t="s">
        <v>5</v>
      </c>
      <c r="E9" s="2" t="s">
        <v>71</v>
      </c>
      <c r="F9" s="20">
        <v>42439.356319444443</v>
      </c>
      <c r="G9" s="20"/>
      <c r="H9" s="20"/>
      <c r="I9">
        <v>9</v>
      </c>
    </row>
    <row r="10" spans="1:9" ht="51" x14ac:dyDescent="0.2">
      <c r="A10" s="2" t="s">
        <v>299</v>
      </c>
      <c r="B10" s="2" t="s">
        <v>83</v>
      </c>
      <c r="C10" s="20">
        <v>42016.631076388891</v>
      </c>
      <c r="D10" s="2" t="s">
        <v>6</v>
      </c>
      <c r="E10" s="2" t="s">
        <v>193</v>
      </c>
      <c r="F10" s="20">
        <v>42459.693796296298</v>
      </c>
      <c r="G10" s="20"/>
      <c r="H10" s="20"/>
      <c r="I10">
        <v>10</v>
      </c>
    </row>
    <row r="11" spans="1:9" ht="25.5" x14ac:dyDescent="0.2">
      <c r="A11" s="2" t="s">
        <v>298</v>
      </c>
      <c r="B11" s="2" t="s">
        <v>37</v>
      </c>
      <c r="C11" s="20">
        <v>42123.674826388888</v>
      </c>
      <c r="D11" s="2" t="s">
        <v>5</v>
      </c>
      <c r="E11" s="2" t="s">
        <v>40</v>
      </c>
      <c r="F11" s="20">
        <v>42123.674837962964</v>
      </c>
      <c r="G11" s="20"/>
      <c r="H11" s="20"/>
      <c r="I11">
        <v>11</v>
      </c>
    </row>
    <row r="12" spans="1:9" ht="25.5" x14ac:dyDescent="0.2">
      <c r="A12" s="2" t="s">
        <v>298</v>
      </c>
      <c r="B12" s="2" t="s">
        <v>37</v>
      </c>
      <c r="C12" s="20">
        <v>42123.674826388888</v>
      </c>
      <c r="D12" s="2" t="s">
        <v>5</v>
      </c>
      <c r="E12" s="2" t="s">
        <v>71</v>
      </c>
      <c r="F12" s="20">
        <v>42123.681226851855</v>
      </c>
      <c r="G12" s="20"/>
      <c r="H12" s="20"/>
      <c r="I12">
        <v>12</v>
      </c>
    </row>
    <row r="13" spans="1:9" ht="63.75" x14ac:dyDescent="0.2">
      <c r="A13" s="2" t="s">
        <v>298</v>
      </c>
      <c r="B13" s="2" t="s">
        <v>37</v>
      </c>
      <c r="C13" s="20">
        <v>42123.674826388888</v>
      </c>
      <c r="D13" s="2" t="s">
        <v>6</v>
      </c>
      <c r="E13" s="2" t="s">
        <v>171</v>
      </c>
      <c r="F13" s="20">
        <v>42129.571296296293</v>
      </c>
      <c r="G13" s="20"/>
      <c r="H13" s="20"/>
      <c r="I13">
        <v>13</v>
      </c>
    </row>
    <row r="14" spans="1:9" ht="51" x14ac:dyDescent="0.2">
      <c r="A14" s="2" t="s">
        <v>298</v>
      </c>
      <c r="B14" s="2" t="s">
        <v>37</v>
      </c>
      <c r="C14" s="20">
        <v>42123.674826388888</v>
      </c>
      <c r="D14" s="2" t="s">
        <v>6</v>
      </c>
      <c r="E14" s="2" t="s">
        <v>193</v>
      </c>
      <c r="F14" s="20">
        <v>42139.540555555555</v>
      </c>
      <c r="G14" s="20"/>
      <c r="H14" s="20"/>
      <c r="I14">
        <v>14</v>
      </c>
    </row>
    <row r="15" spans="1:9" ht="25.5" x14ac:dyDescent="0.2">
      <c r="A15" s="2" t="s">
        <v>298</v>
      </c>
      <c r="B15" s="2" t="s">
        <v>37</v>
      </c>
      <c r="C15" s="20">
        <v>42123.674826388888</v>
      </c>
      <c r="D15" s="2" t="s">
        <v>5</v>
      </c>
      <c r="E15" s="2" t="s">
        <v>39</v>
      </c>
      <c r="F15" s="20">
        <v>42438.650266203702</v>
      </c>
      <c r="G15" s="20"/>
      <c r="H15" s="20"/>
      <c r="I15">
        <v>15</v>
      </c>
    </row>
    <row r="16" spans="1:9" ht="63.75" x14ac:dyDescent="0.2">
      <c r="A16" s="2" t="s">
        <v>298</v>
      </c>
      <c r="B16" s="2" t="s">
        <v>37</v>
      </c>
      <c r="C16" s="20">
        <v>42123.674826388888</v>
      </c>
      <c r="D16" s="2" t="s">
        <v>6</v>
      </c>
      <c r="E16" s="2" t="s">
        <v>50</v>
      </c>
      <c r="F16" s="20">
        <v>42438.723275462966</v>
      </c>
      <c r="G16" s="20"/>
      <c r="H16" s="20"/>
      <c r="I16">
        <v>16</v>
      </c>
    </row>
    <row r="17" spans="1:9" ht="25.5" x14ac:dyDescent="0.2">
      <c r="A17" s="2" t="s">
        <v>298</v>
      </c>
      <c r="B17" s="2" t="s">
        <v>37</v>
      </c>
      <c r="C17" s="20">
        <v>42123.674826388888</v>
      </c>
      <c r="D17" s="2" t="s">
        <v>5</v>
      </c>
      <c r="E17" s="2" t="s">
        <v>71</v>
      </c>
      <c r="F17" s="20">
        <v>42439.356793981482</v>
      </c>
      <c r="G17" s="20"/>
      <c r="H17" s="20"/>
      <c r="I17">
        <v>17</v>
      </c>
    </row>
    <row r="18" spans="1:9" ht="51" x14ac:dyDescent="0.2">
      <c r="A18" s="2" t="s">
        <v>298</v>
      </c>
      <c r="B18" s="2" t="s">
        <v>37</v>
      </c>
      <c r="C18" s="20">
        <v>42123.674826388888</v>
      </c>
      <c r="D18" s="2" t="s">
        <v>6</v>
      </c>
      <c r="E18" s="2" t="s">
        <v>193</v>
      </c>
      <c r="F18" s="20">
        <v>42444.464456018519</v>
      </c>
      <c r="G18" s="20"/>
      <c r="H18" s="20"/>
      <c r="I18">
        <v>18</v>
      </c>
    </row>
    <row r="19" spans="1:9" ht="25.5" x14ac:dyDescent="0.2">
      <c r="A19" s="2" t="s">
        <v>297</v>
      </c>
      <c r="B19" s="2" t="s">
        <v>37</v>
      </c>
      <c r="C19" s="20">
        <v>42219.395428240743</v>
      </c>
      <c r="D19" s="2" t="s">
        <v>5</v>
      </c>
      <c r="E19" s="2" t="s">
        <v>40</v>
      </c>
      <c r="F19" s="20">
        <v>42219.395520833335</v>
      </c>
      <c r="G19" s="20"/>
      <c r="H19" s="20"/>
      <c r="I19">
        <v>19</v>
      </c>
    </row>
    <row r="20" spans="1:9" ht="25.5" x14ac:dyDescent="0.2">
      <c r="A20" s="2" t="s">
        <v>297</v>
      </c>
      <c r="B20" s="2" t="s">
        <v>37</v>
      </c>
      <c r="C20" s="20">
        <v>42219.395428240743</v>
      </c>
      <c r="D20" s="2" t="s">
        <v>5</v>
      </c>
      <c r="E20" s="2" t="s">
        <v>235</v>
      </c>
      <c r="F20" s="20">
        <v>42219.396909722222</v>
      </c>
      <c r="G20" s="20"/>
      <c r="H20" s="20"/>
      <c r="I20">
        <v>20</v>
      </c>
    </row>
    <row r="21" spans="1:9" ht="63.75" x14ac:dyDescent="0.2">
      <c r="A21" s="2" t="s">
        <v>297</v>
      </c>
      <c r="B21" s="2" t="s">
        <v>37</v>
      </c>
      <c r="C21" s="20">
        <v>42219.395428240743</v>
      </c>
      <c r="D21" s="2" t="s">
        <v>6</v>
      </c>
      <c r="E21" s="2" t="s">
        <v>296</v>
      </c>
      <c r="F21" s="20">
        <v>42219.396909722222</v>
      </c>
      <c r="G21" s="20"/>
      <c r="H21" s="20"/>
      <c r="I21">
        <v>21</v>
      </c>
    </row>
    <row r="22" spans="1:9" ht="25.5" x14ac:dyDescent="0.2">
      <c r="A22" s="2" t="s">
        <v>295</v>
      </c>
      <c r="B22" s="2" t="s">
        <v>37</v>
      </c>
      <c r="C22" s="20">
        <v>42263.496006944442</v>
      </c>
      <c r="D22" s="2" t="s">
        <v>5</v>
      </c>
      <c r="E22" s="2" t="s">
        <v>40</v>
      </c>
      <c r="F22" s="20">
        <v>42263.496018518519</v>
      </c>
      <c r="G22" s="20"/>
      <c r="H22" s="20"/>
      <c r="I22">
        <v>22</v>
      </c>
    </row>
    <row r="23" spans="1:9" ht="25.5" x14ac:dyDescent="0.2">
      <c r="A23" s="2" t="s">
        <v>295</v>
      </c>
      <c r="B23" s="2" t="s">
        <v>37</v>
      </c>
      <c r="C23" s="20">
        <v>42263.496006944442</v>
      </c>
      <c r="D23" s="2" t="s">
        <v>5</v>
      </c>
      <c r="E23" s="2" t="s">
        <v>69</v>
      </c>
      <c r="F23" s="20">
        <v>42263.525173611109</v>
      </c>
      <c r="G23" s="20"/>
      <c r="H23" s="20"/>
      <c r="I23">
        <v>23</v>
      </c>
    </row>
    <row r="24" spans="1:9" ht="51" x14ac:dyDescent="0.2">
      <c r="A24" s="2" t="s">
        <v>295</v>
      </c>
      <c r="B24" s="2" t="s">
        <v>37</v>
      </c>
      <c r="C24" s="20">
        <v>42263.496006944442</v>
      </c>
      <c r="D24" s="2" t="s">
        <v>6</v>
      </c>
      <c r="E24" s="2" t="s">
        <v>266</v>
      </c>
      <c r="F24" s="20">
        <v>42263.537743055553</v>
      </c>
      <c r="G24" s="20"/>
      <c r="H24" s="20"/>
      <c r="I24">
        <v>24</v>
      </c>
    </row>
    <row r="25" spans="1:9" ht="25.5" x14ac:dyDescent="0.2">
      <c r="A25" s="2" t="s">
        <v>295</v>
      </c>
      <c r="B25" s="2" t="s">
        <v>37</v>
      </c>
      <c r="C25" s="20">
        <v>42263.496006944442</v>
      </c>
      <c r="D25" s="2" t="s">
        <v>5</v>
      </c>
      <c r="E25" s="2" t="s">
        <v>39</v>
      </c>
      <c r="F25" s="20">
        <v>42265.556747685187</v>
      </c>
      <c r="G25" s="20"/>
      <c r="H25" s="20"/>
      <c r="I25">
        <v>25</v>
      </c>
    </row>
    <row r="26" spans="1:9" ht="25.5" x14ac:dyDescent="0.2">
      <c r="A26" s="2" t="s">
        <v>295</v>
      </c>
      <c r="B26" s="2" t="s">
        <v>37</v>
      </c>
      <c r="C26" s="20">
        <v>42263.496006944442</v>
      </c>
      <c r="D26" s="2" t="s">
        <v>5</v>
      </c>
      <c r="E26" s="2" t="s">
        <v>135</v>
      </c>
      <c r="F26" s="20">
        <v>42265.563750000001</v>
      </c>
      <c r="G26" s="20"/>
      <c r="H26" s="20"/>
      <c r="I26">
        <v>26</v>
      </c>
    </row>
    <row r="27" spans="1:9" ht="25.5" x14ac:dyDescent="0.2">
      <c r="A27" s="2" t="s">
        <v>294</v>
      </c>
      <c r="B27" s="2" t="s">
        <v>37</v>
      </c>
      <c r="C27" s="20">
        <v>42340.497453703705</v>
      </c>
      <c r="D27" s="2" t="s">
        <v>5</v>
      </c>
      <c r="E27" s="2" t="s">
        <v>40</v>
      </c>
      <c r="F27" s="20">
        <v>42340.508483796293</v>
      </c>
      <c r="G27" s="20"/>
      <c r="H27" s="20"/>
      <c r="I27">
        <v>27</v>
      </c>
    </row>
    <row r="28" spans="1:9" ht="25.5" x14ac:dyDescent="0.2">
      <c r="A28" s="2" t="s">
        <v>294</v>
      </c>
      <c r="B28" s="2" t="s">
        <v>37</v>
      </c>
      <c r="C28" s="20">
        <v>42340.497453703705</v>
      </c>
      <c r="D28" s="2" t="s">
        <v>5</v>
      </c>
      <c r="E28" s="2" t="s">
        <v>39</v>
      </c>
      <c r="F28" s="20">
        <v>42340.508831018517</v>
      </c>
      <c r="G28" s="20"/>
      <c r="H28" s="20"/>
      <c r="I28">
        <v>28</v>
      </c>
    </row>
    <row r="29" spans="1:9" ht="25.5" x14ac:dyDescent="0.2">
      <c r="A29" s="2" t="s">
        <v>294</v>
      </c>
      <c r="B29" s="2" t="s">
        <v>37</v>
      </c>
      <c r="C29" s="20">
        <v>42340.497453703705</v>
      </c>
      <c r="D29" s="2" t="s">
        <v>5</v>
      </c>
      <c r="E29" s="2" t="s">
        <v>135</v>
      </c>
      <c r="F29" s="20">
        <v>42340.524641203701</v>
      </c>
      <c r="G29" s="20"/>
      <c r="H29" s="20"/>
      <c r="I29">
        <v>29</v>
      </c>
    </row>
    <row r="30" spans="1:9" ht="25.5" x14ac:dyDescent="0.2">
      <c r="A30" s="2" t="s">
        <v>293</v>
      </c>
      <c r="B30" s="2" t="s">
        <v>37</v>
      </c>
      <c r="C30" s="20">
        <v>42352.477118055554</v>
      </c>
      <c r="D30" s="2" t="s">
        <v>5</v>
      </c>
      <c r="E30" s="2" t="s">
        <v>40</v>
      </c>
      <c r="F30" s="20">
        <v>42352.477175925924</v>
      </c>
      <c r="G30" s="20"/>
      <c r="H30" s="20"/>
      <c r="I30">
        <v>30</v>
      </c>
    </row>
    <row r="31" spans="1:9" ht="25.5" x14ac:dyDescent="0.2">
      <c r="A31" s="2" t="s">
        <v>293</v>
      </c>
      <c r="B31" s="2" t="s">
        <v>37</v>
      </c>
      <c r="C31" s="20">
        <v>42352.477118055554</v>
      </c>
      <c r="D31" s="2" t="s">
        <v>5</v>
      </c>
      <c r="E31" s="2" t="s">
        <v>69</v>
      </c>
      <c r="F31" s="20">
        <v>42352.482245370367</v>
      </c>
      <c r="G31" s="20"/>
      <c r="H31" s="20"/>
      <c r="I31">
        <v>31</v>
      </c>
    </row>
    <row r="32" spans="1:9" ht="25.5" x14ac:dyDescent="0.2">
      <c r="A32" s="2" t="s">
        <v>293</v>
      </c>
      <c r="B32" s="2" t="s">
        <v>37</v>
      </c>
      <c r="C32" s="20">
        <v>42352.477118055554</v>
      </c>
      <c r="D32" s="2" t="s">
        <v>5</v>
      </c>
      <c r="E32" s="2" t="s">
        <v>39</v>
      </c>
      <c r="F32" s="20">
        <v>42352.493090277778</v>
      </c>
      <c r="G32" s="20"/>
      <c r="H32" s="20"/>
      <c r="I32">
        <v>32</v>
      </c>
    </row>
    <row r="33" spans="1:9" ht="51" x14ac:dyDescent="0.2">
      <c r="A33" s="2" t="s">
        <v>293</v>
      </c>
      <c r="B33" s="2" t="s">
        <v>37</v>
      </c>
      <c r="C33" s="20">
        <v>42352.477118055554</v>
      </c>
      <c r="D33" s="2" t="s">
        <v>6</v>
      </c>
      <c r="E33" s="2" t="s">
        <v>77</v>
      </c>
      <c r="F33" s="20">
        <v>42352.507372685184</v>
      </c>
      <c r="G33" s="20"/>
      <c r="H33" s="20"/>
      <c r="I33">
        <v>33</v>
      </c>
    </row>
    <row r="34" spans="1:9" ht="25.5" x14ac:dyDescent="0.2">
      <c r="A34" s="2" t="s">
        <v>293</v>
      </c>
      <c r="B34" s="2" t="s">
        <v>37</v>
      </c>
      <c r="C34" s="20">
        <v>42352.477118055554</v>
      </c>
      <c r="D34" s="2" t="s">
        <v>5</v>
      </c>
      <c r="E34" s="2" t="s">
        <v>135</v>
      </c>
      <c r="F34" s="20">
        <v>42352.50984953704</v>
      </c>
      <c r="G34" s="20"/>
      <c r="H34" s="20"/>
      <c r="I34">
        <v>34</v>
      </c>
    </row>
    <row r="35" spans="1:9" ht="25.5" x14ac:dyDescent="0.2">
      <c r="A35" s="2" t="s">
        <v>292</v>
      </c>
      <c r="B35" s="2" t="s">
        <v>83</v>
      </c>
      <c r="C35" s="20">
        <v>42377.266238425924</v>
      </c>
      <c r="D35" s="2" t="s">
        <v>5</v>
      </c>
      <c r="E35" s="2" t="s">
        <v>40</v>
      </c>
      <c r="F35" s="20">
        <v>42377.266261574077</v>
      </c>
      <c r="G35" s="20"/>
      <c r="H35" s="20"/>
      <c r="I35">
        <v>35</v>
      </c>
    </row>
    <row r="36" spans="1:9" ht="25.5" x14ac:dyDescent="0.2">
      <c r="A36" s="2" t="s">
        <v>292</v>
      </c>
      <c r="B36" s="2" t="s">
        <v>83</v>
      </c>
      <c r="C36" s="20">
        <v>42377.266238425924</v>
      </c>
      <c r="D36" s="2" t="s">
        <v>5</v>
      </c>
      <c r="E36" s="2" t="s">
        <v>69</v>
      </c>
      <c r="F36" s="20">
        <v>42377.269282407404</v>
      </c>
      <c r="G36" s="20"/>
      <c r="H36" s="20"/>
      <c r="I36">
        <v>36</v>
      </c>
    </row>
    <row r="37" spans="1:9" ht="25.5" x14ac:dyDescent="0.2">
      <c r="A37" s="2" t="s">
        <v>292</v>
      </c>
      <c r="B37" s="2" t="s">
        <v>83</v>
      </c>
      <c r="C37" s="20">
        <v>42377.266238425924</v>
      </c>
      <c r="D37" s="2" t="s">
        <v>5</v>
      </c>
      <c r="E37" s="2" t="s">
        <v>135</v>
      </c>
      <c r="F37" s="20">
        <v>42377.366122685184</v>
      </c>
      <c r="G37" s="20"/>
      <c r="H37" s="20"/>
      <c r="I37">
        <v>37</v>
      </c>
    </row>
    <row r="38" spans="1:9" ht="25.5" x14ac:dyDescent="0.2">
      <c r="A38" s="2" t="s">
        <v>291</v>
      </c>
      <c r="B38" s="2" t="s">
        <v>37</v>
      </c>
      <c r="C38" s="20">
        <v>42391.488368055558</v>
      </c>
      <c r="D38" s="2" t="s">
        <v>5</v>
      </c>
      <c r="E38" s="2" t="s">
        <v>40</v>
      </c>
      <c r="F38" s="20">
        <v>42391.488368055558</v>
      </c>
      <c r="G38" s="20"/>
      <c r="H38" s="20"/>
      <c r="I38">
        <v>38</v>
      </c>
    </row>
    <row r="39" spans="1:9" ht="25.5" x14ac:dyDescent="0.2">
      <c r="A39" s="2" t="s">
        <v>291</v>
      </c>
      <c r="B39" s="2" t="s">
        <v>37</v>
      </c>
      <c r="C39" s="20">
        <v>42391.488368055558</v>
      </c>
      <c r="D39" s="2" t="s">
        <v>5</v>
      </c>
      <c r="E39" s="2" t="s">
        <v>69</v>
      </c>
      <c r="F39" s="20">
        <v>42391.489074074074</v>
      </c>
      <c r="G39" s="20"/>
      <c r="H39" s="20"/>
      <c r="I39">
        <v>39</v>
      </c>
    </row>
    <row r="40" spans="1:9" ht="25.5" x14ac:dyDescent="0.2">
      <c r="A40" s="2" t="s">
        <v>291</v>
      </c>
      <c r="B40" s="2" t="s">
        <v>37</v>
      </c>
      <c r="C40" s="20">
        <v>42391.488368055558</v>
      </c>
      <c r="D40" s="2" t="s">
        <v>5</v>
      </c>
      <c r="E40" s="2" t="s">
        <v>39</v>
      </c>
      <c r="F40" s="20">
        <v>42391.563032407408</v>
      </c>
      <c r="G40" s="20"/>
      <c r="H40" s="20"/>
      <c r="I40">
        <v>40</v>
      </c>
    </row>
    <row r="41" spans="1:9" ht="25.5" x14ac:dyDescent="0.2">
      <c r="A41" s="2" t="s">
        <v>291</v>
      </c>
      <c r="B41" s="2" t="s">
        <v>37</v>
      </c>
      <c r="C41" s="20">
        <v>42391.488368055558</v>
      </c>
      <c r="D41" s="2" t="s">
        <v>5</v>
      </c>
      <c r="E41" s="2" t="s">
        <v>135</v>
      </c>
      <c r="F41" s="20">
        <v>42391.581932870373</v>
      </c>
      <c r="G41" s="20"/>
      <c r="H41" s="20"/>
      <c r="I41">
        <v>41</v>
      </c>
    </row>
    <row r="42" spans="1:9" ht="25.5" x14ac:dyDescent="0.2">
      <c r="A42" s="2" t="s">
        <v>290</v>
      </c>
      <c r="B42" s="2" t="s">
        <v>37</v>
      </c>
      <c r="C42" s="20">
        <v>42396.450509259259</v>
      </c>
      <c r="D42" s="2" t="s">
        <v>5</v>
      </c>
      <c r="E42" s="2" t="s">
        <v>40</v>
      </c>
      <c r="F42" s="20">
        <v>42396.450543981482</v>
      </c>
      <c r="G42" s="20"/>
      <c r="H42" s="20"/>
      <c r="I42">
        <v>42</v>
      </c>
    </row>
    <row r="43" spans="1:9" ht="25.5" x14ac:dyDescent="0.2">
      <c r="A43" s="2" t="s">
        <v>290</v>
      </c>
      <c r="B43" s="2" t="s">
        <v>37</v>
      </c>
      <c r="C43" s="20">
        <v>42396.450509259259</v>
      </c>
      <c r="D43" s="2" t="s">
        <v>5</v>
      </c>
      <c r="E43" s="2" t="s">
        <v>39</v>
      </c>
      <c r="F43" s="20">
        <v>42396.450960648152</v>
      </c>
      <c r="G43" s="20"/>
      <c r="H43" s="20"/>
      <c r="I43">
        <v>43</v>
      </c>
    </row>
    <row r="44" spans="1:9" ht="25.5" x14ac:dyDescent="0.2">
      <c r="A44" s="2" t="s">
        <v>290</v>
      </c>
      <c r="B44" s="2" t="s">
        <v>37</v>
      </c>
      <c r="C44" s="20">
        <v>42396.450509259259</v>
      </c>
      <c r="D44" s="2" t="s">
        <v>5</v>
      </c>
      <c r="E44" s="2" t="s">
        <v>69</v>
      </c>
      <c r="F44" s="20">
        <v>42396.459768518522</v>
      </c>
      <c r="G44" s="20"/>
      <c r="H44" s="20"/>
      <c r="I44">
        <v>44</v>
      </c>
    </row>
    <row r="45" spans="1:9" ht="25.5" x14ac:dyDescent="0.2">
      <c r="A45" s="2" t="s">
        <v>290</v>
      </c>
      <c r="B45" s="2" t="s">
        <v>37</v>
      </c>
      <c r="C45" s="20">
        <v>42396.450509259259</v>
      </c>
      <c r="D45" s="2" t="s">
        <v>5</v>
      </c>
      <c r="E45" s="2" t="s">
        <v>135</v>
      </c>
      <c r="F45" s="20">
        <v>42396.461851851855</v>
      </c>
      <c r="G45" s="20"/>
      <c r="H45" s="20"/>
      <c r="I45">
        <v>45</v>
      </c>
    </row>
    <row r="46" spans="1:9" ht="25.5" x14ac:dyDescent="0.2">
      <c r="A46" s="2" t="s">
        <v>288</v>
      </c>
      <c r="B46" s="2" t="s">
        <v>37</v>
      </c>
      <c r="C46" s="20">
        <v>42406.554097222222</v>
      </c>
      <c r="D46" s="2" t="s">
        <v>5</v>
      </c>
      <c r="E46" s="2" t="s">
        <v>40</v>
      </c>
      <c r="F46" s="20">
        <v>42406.554143518515</v>
      </c>
      <c r="G46" s="20">
        <v>42406.556539351855</v>
      </c>
      <c r="H46" s="20"/>
      <c r="I46">
        <v>46</v>
      </c>
    </row>
    <row r="47" spans="1:9" ht="51" x14ac:dyDescent="0.2">
      <c r="A47" s="2" t="s">
        <v>288</v>
      </c>
      <c r="B47" s="2" t="s">
        <v>37</v>
      </c>
      <c r="C47" s="20">
        <v>42406.554097222222</v>
      </c>
      <c r="D47" s="2" t="s">
        <v>5</v>
      </c>
      <c r="E47" s="2" t="s">
        <v>139</v>
      </c>
      <c r="F47" s="20">
        <v>42406.556585648148</v>
      </c>
      <c r="G47" s="20">
        <v>42406.556539351855</v>
      </c>
      <c r="H47" s="20"/>
      <c r="I47">
        <v>47</v>
      </c>
    </row>
    <row r="48" spans="1:9" ht="63.75" x14ac:dyDescent="0.2">
      <c r="A48" s="2" t="s">
        <v>288</v>
      </c>
      <c r="B48" s="2" t="s">
        <v>37</v>
      </c>
      <c r="C48" s="20">
        <v>42406.554097222222</v>
      </c>
      <c r="D48" s="2" t="s">
        <v>6</v>
      </c>
      <c r="E48" s="2" t="s">
        <v>289</v>
      </c>
      <c r="F48" s="20">
        <v>42406.556585648148</v>
      </c>
      <c r="G48" s="20">
        <v>42406.556539351855</v>
      </c>
      <c r="H48" s="20"/>
      <c r="I48">
        <v>48</v>
      </c>
    </row>
    <row r="49" spans="1:9" ht="25.5" x14ac:dyDescent="0.2">
      <c r="A49" s="2" t="s">
        <v>288</v>
      </c>
      <c r="B49" s="2" t="s">
        <v>37</v>
      </c>
      <c r="C49" s="20">
        <v>42406.554097222222</v>
      </c>
      <c r="D49" s="2" t="s">
        <v>5</v>
      </c>
      <c r="E49" s="2" t="s">
        <v>69</v>
      </c>
      <c r="F49" s="20">
        <v>42406.587685185186</v>
      </c>
      <c r="G49" s="20">
        <v>42406.556539351855</v>
      </c>
      <c r="H49" s="20"/>
      <c r="I49">
        <v>49</v>
      </c>
    </row>
    <row r="50" spans="1:9" ht="25.5" x14ac:dyDescent="0.2">
      <c r="A50" s="2" t="s">
        <v>288</v>
      </c>
      <c r="B50" s="2" t="s">
        <v>37</v>
      </c>
      <c r="C50" s="20">
        <v>42406.554097222222</v>
      </c>
      <c r="D50" s="2" t="s">
        <v>5</v>
      </c>
      <c r="E50" s="2" t="s">
        <v>135</v>
      </c>
      <c r="F50" s="20">
        <v>42408.403912037036</v>
      </c>
      <c r="G50" s="20">
        <v>42406.556539351855</v>
      </c>
      <c r="H50" s="20"/>
      <c r="I50">
        <v>50</v>
      </c>
    </row>
    <row r="51" spans="1:9" ht="25.5" x14ac:dyDescent="0.2">
      <c r="A51" s="2" t="s">
        <v>287</v>
      </c>
      <c r="B51" s="2" t="s">
        <v>37</v>
      </c>
      <c r="C51" s="20">
        <v>42431.108217592591</v>
      </c>
      <c r="D51" s="2" t="s">
        <v>5</v>
      </c>
      <c r="E51" s="2" t="s">
        <v>40</v>
      </c>
      <c r="F51" s="20">
        <v>42431.108229166668</v>
      </c>
      <c r="G51" s="20"/>
      <c r="H51" s="20"/>
      <c r="I51">
        <v>51</v>
      </c>
    </row>
    <row r="52" spans="1:9" ht="25.5" x14ac:dyDescent="0.2">
      <c r="A52" s="2" t="s">
        <v>287</v>
      </c>
      <c r="B52" s="2" t="s">
        <v>37</v>
      </c>
      <c r="C52" s="20">
        <v>42431.108217592591</v>
      </c>
      <c r="D52" s="2" t="s">
        <v>5</v>
      </c>
      <c r="E52" s="2" t="s">
        <v>39</v>
      </c>
      <c r="F52" s="20">
        <v>42431.114363425928</v>
      </c>
      <c r="G52" s="20"/>
      <c r="H52" s="20"/>
      <c r="I52">
        <v>52</v>
      </c>
    </row>
    <row r="53" spans="1:9" ht="25.5" x14ac:dyDescent="0.2">
      <c r="A53" s="2" t="s">
        <v>287</v>
      </c>
      <c r="B53" s="2" t="s">
        <v>37</v>
      </c>
      <c r="C53" s="20">
        <v>42431.108217592591</v>
      </c>
      <c r="D53" s="2" t="s">
        <v>5</v>
      </c>
      <c r="E53" s="2" t="s">
        <v>69</v>
      </c>
      <c r="F53" s="20">
        <v>42431.445856481485</v>
      </c>
      <c r="G53" s="20"/>
      <c r="H53" s="20"/>
      <c r="I53">
        <v>53</v>
      </c>
    </row>
    <row r="54" spans="1:9" ht="25.5" x14ac:dyDescent="0.2">
      <c r="A54" s="2" t="s">
        <v>287</v>
      </c>
      <c r="B54" s="2" t="s">
        <v>37</v>
      </c>
      <c r="C54" s="20">
        <v>42431.108217592591</v>
      </c>
      <c r="D54" s="2" t="s">
        <v>5</v>
      </c>
      <c r="E54" s="2" t="s">
        <v>135</v>
      </c>
      <c r="F54" s="20">
        <v>42431.494143518517</v>
      </c>
      <c r="G54" s="20"/>
      <c r="H54" s="20"/>
      <c r="I54">
        <v>54</v>
      </c>
    </row>
    <row r="55" spans="1:9" ht="25.5" x14ac:dyDescent="0.2">
      <c r="A55" s="2" t="s">
        <v>286</v>
      </c>
      <c r="B55" s="2" t="s">
        <v>37</v>
      </c>
      <c r="C55" s="20">
        <v>42445.057893518519</v>
      </c>
      <c r="D55" s="2" t="s">
        <v>5</v>
      </c>
      <c r="E55" s="2" t="s">
        <v>40</v>
      </c>
      <c r="F55" s="20">
        <v>42445.057928240742</v>
      </c>
      <c r="G55" s="20"/>
      <c r="H55" s="20"/>
      <c r="I55">
        <v>55</v>
      </c>
    </row>
    <row r="56" spans="1:9" ht="25.5" x14ac:dyDescent="0.2">
      <c r="A56" s="2" t="s">
        <v>286</v>
      </c>
      <c r="B56" s="2" t="s">
        <v>37</v>
      </c>
      <c r="C56" s="20">
        <v>42445.057893518519</v>
      </c>
      <c r="D56" s="2" t="s">
        <v>5</v>
      </c>
      <c r="E56" s="2" t="s">
        <v>69</v>
      </c>
      <c r="F56" s="20">
        <v>42445.097025462965</v>
      </c>
      <c r="G56" s="20"/>
      <c r="H56" s="20"/>
      <c r="I56">
        <v>56</v>
      </c>
    </row>
    <row r="57" spans="1:9" ht="25.5" x14ac:dyDescent="0.2">
      <c r="A57" s="2" t="s">
        <v>286</v>
      </c>
      <c r="B57" s="2" t="s">
        <v>37</v>
      </c>
      <c r="C57" s="20">
        <v>42445.057893518519</v>
      </c>
      <c r="D57" s="2" t="s">
        <v>5</v>
      </c>
      <c r="E57" s="2" t="s">
        <v>135</v>
      </c>
      <c r="F57" s="20">
        <v>42445.373263888891</v>
      </c>
      <c r="G57" s="20"/>
      <c r="H57" s="20"/>
      <c r="I57">
        <v>57</v>
      </c>
    </row>
    <row r="58" spans="1:9" ht="25.5" x14ac:dyDescent="0.2">
      <c r="A58" s="2" t="s">
        <v>285</v>
      </c>
      <c r="B58" s="2" t="s">
        <v>37</v>
      </c>
      <c r="C58" s="20">
        <v>42457.586909722224</v>
      </c>
      <c r="D58" s="2" t="s">
        <v>5</v>
      </c>
      <c r="E58" s="2" t="s">
        <v>40</v>
      </c>
      <c r="F58" s="20">
        <v>42457.587025462963</v>
      </c>
      <c r="G58" s="20"/>
      <c r="H58" s="20"/>
      <c r="I58">
        <v>58</v>
      </c>
    </row>
    <row r="59" spans="1:9" ht="25.5" x14ac:dyDescent="0.2">
      <c r="A59" s="2" t="s">
        <v>285</v>
      </c>
      <c r="B59" s="2" t="s">
        <v>37</v>
      </c>
      <c r="C59" s="20">
        <v>42457.586909722224</v>
      </c>
      <c r="D59" s="2" t="s">
        <v>5</v>
      </c>
      <c r="E59" s="2" t="s">
        <v>39</v>
      </c>
      <c r="F59" s="20">
        <v>42457.587581018517</v>
      </c>
      <c r="G59" s="20"/>
      <c r="H59" s="20"/>
      <c r="I59">
        <v>59</v>
      </c>
    </row>
    <row r="60" spans="1:9" ht="25.5" x14ac:dyDescent="0.2">
      <c r="A60" s="2" t="s">
        <v>285</v>
      </c>
      <c r="B60" s="2" t="s">
        <v>37</v>
      </c>
      <c r="C60" s="20">
        <v>42457.586909722224</v>
      </c>
      <c r="D60" s="2" t="s">
        <v>5</v>
      </c>
      <c r="E60" s="2" t="s">
        <v>135</v>
      </c>
      <c r="F60" s="20">
        <v>42457.622604166667</v>
      </c>
      <c r="G60" s="20"/>
      <c r="H60" s="20"/>
      <c r="I60">
        <v>60</v>
      </c>
    </row>
    <row r="61" spans="1:9" ht="25.5" x14ac:dyDescent="0.2">
      <c r="A61" s="2" t="s">
        <v>284</v>
      </c>
      <c r="B61" s="2" t="s">
        <v>37</v>
      </c>
      <c r="C61" s="20">
        <v>42457.621331018519</v>
      </c>
      <c r="D61" s="2" t="s">
        <v>5</v>
      </c>
      <c r="E61" s="2" t="s">
        <v>40</v>
      </c>
      <c r="F61" s="20">
        <v>42457.621435185189</v>
      </c>
      <c r="G61" s="20"/>
      <c r="H61" s="20"/>
      <c r="I61">
        <v>61</v>
      </c>
    </row>
    <row r="62" spans="1:9" ht="25.5" x14ac:dyDescent="0.2">
      <c r="A62" s="2" t="s">
        <v>284</v>
      </c>
      <c r="B62" s="2" t="s">
        <v>37</v>
      </c>
      <c r="C62" s="20">
        <v>42457.621331018519</v>
      </c>
      <c r="D62" s="2" t="s">
        <v>5</v>
      </c>
      <c r="E62" s="2" t="s">
        <v>135</v>
      </c>
      <c r="F62" s="20">
        <v>42457.622094907405</v>
      </c>
      <c r="G62" s="20"/>
      <c r="H62" s="20"/>
      <c r="I62">
        <v>62</v>
      </c>
    </row>
    <row r="63" spans="1:9" ht="25.5" x14ac:dyDescent="0.2">
      <c r="A63" s="2" t="s">
        <v>283</v>
      </c>
      <c r="B63" s="2" t="s">
        <v>37</v>
      </c>
      <c r="C63" s="20">
        <v>42457.623055555552</v>
      </c>
      <c r="D63" s="2" t="s">
        <v>5</v>
      </c>
      <c r="E63" s="2" t="s">
        <v>40</v>
      </c>
      <c r="F63" s="20">
        <v>42457.623136574075</v>
      </c>
      <c r="G63" s="20"/>
      <c r="H63" s="20"/>
      <c r="I63">
        <v>63</v>
      </c>
    </row>
    <row r="64" spans="1:9" ht="25.5" x14ac:dyDescent="0.2">
      <c r="A64" s="2" t="s">
        <v>283</v>
      </c>
      <c r="B64" s="2" t="s">
        <v>37</v>
      </c>
      <c r="C64" s="20">
        <v>42457.623055555552</v>
      </c>
      <c r="D64" s="2" t="s">
        <v>5</v>
      </c>
      <c r="E64" s="2" t="s">
        <v>135</v>
      </c>
      <c r="F64" s="20">
        <v>42457.623483796298</v>
      </c>
      <c r="G64" s="20"/>
      <c r="H64" s="20"/>
      <c r="I64">
        <v>64</v>
      </c>
    </row>
    <row r="65" spans="1:9" ht="25.5" x14ac:dyDescent="0.2">
      <c r="A65" s="2" t="s">
        <v>282</v>
      </c>
      <c r="B65" s="2" t="s">
        <v>37</v>
      </c>
      <c r="C65" s="20">
        <v>42460.482511574075</v>
      </c>
      <c r="D65" s="2" t="s">
        <v>5</v>
      </c>
      <c r="E65" s="2" t="s">
        <v>40</v>
      </c>
      <c r="F65" s="20">
        <v>42460.482523148145</v>
      </c>
      <c r="G65" s="20"/>
      <c r="H65" s="20"/>
      <c r="I65">
        <v>65</v>
      </c>
    </row>
    <row r="66" spans="1:9" ht="25.5" x14ac:dyDescent="0.2">
      <c r="A66" s="2" t="s">
        <v>282</v>
      </c>
      <c r="B66" s="2" t="s">
        <v>37</v>
      </c>
      <c r="C66" s="20">
        <v>42460.482511574075</v>
      </c>
      <c r="D66" s="2" t="s">
        <v>5</v>
      </c>
      <c r="E66" s="2" t="s">
        <v>135</v>
      </c>
      <c r="F66" s="20">
        <v>42460.490219907406</v>
      </c>
      <c r="G66" s="20"/>
      <c r="H66" s="20"/>
      <c r="I66">
        <v>66</v>
      </c>
    </row>
    <row r="67" spans="1:9" ht="25.5" x14ac:dyDescent="0.2">
      <c r="A67" s="2" t="s">
        <v>281</v>
      </c>
      <c r="B67" s="2" t="s">
        <v>37</v>
      </c>
      <c r="C67" s="20">
        <v>42460.680868055555</v>
      </c>
      <c r="D67" s="2" t="s">
        <v>5</v>
      </c>
      <c r="E67" s="2" t="s">
        <v>40</v>
      </c>
      <c r="F67" s="20">
        <v>42460.680879629632</v>
      </c>
      <c r="G67" s="20"/>
      <c r="H67" s="20"/>
      <c r="I67">
        <v>67</v>
      </c>
    </row>
    <row r="68" spans="1:9" ht="25.5" x14ac:dyDescent="0.2">
      <c r="A68" s="2" t="s">
        <v>281</v>
      </c>
      <c r="B68" s="2" t="s">
        <v>37</v>
      </c>
      <c r="C68" s="20">
        <v>42460.680868055555</v>
      </c>
      <c r="D68" s="2" t="s">
        <v>5</v>
      </c>
      <c r="E68" s="2" t="s">
        <v>135</v>
      </c>
      <c r="F68" s="20">
        <v>42460.692789351851</v>
      </c>
      <c r="G68" s="20"/>
      <c r="H68" s="20"/>
      <c r="I68">
        <v>68</v>
      </c>
    </row>
    <row r="69" spans="1:9" ht="25.5" x14ac:dyDescent="0.2">
      <c r="A69" s="2" t="s">
        <v>280</v>
      </c>
      <c r="B69" s="2" t="s">
        <v>37</v>
      </c>
      <c r="C69" s="20">
        <v>42468.410231481481</v>
      </c>
      <c r="D69" s="2" t="s">
        <v>5</v>
      </c>
      <c r="E69" s="2" t="s">
        <v>40</v>
      </c>
      <c r="F69" s="20">
        <v>42468.410358796296</v>
      </c>
      <c r="G69" s="20"/>
      <c r="H69" s="20"/>
      <c r="I69">
        <v>69</v>
      </c>
    </row>
    <row r="70" spans="1:9" ht="25.5" x14ac:dyDescent="0.2">
      <c r="A70" s="2" t="s">
        <v>280</v>
      </c>
      <c r="B70" s="2" t="s">
        <v>37</v>
      </c>
      <c r="C70" s="20">
        <v>42468.410231481481</v>
      </c>
      <c r="D70" s="2" t="s">
        <v>5</v>
      </c>
      <c r="E70" s="2" t="s">
        <v>69</v>
      </c>
      <c r="F70" s="20">
        <v>42468.411909722221</v>
      </c>
      <c r="G70" s="20"/>
      <c r="H70" s="20"/>
      <c r="I70">
        <v>70</v>
      </c>
    </row>
    <row r="71" spans="1:9" ht="25.5" x14ac:dyDescent="0.2">
      <c r="A71" s="2" t="s">
        <v>280</v>
      </c>
      <c r="B71" s="2" t="s">
        <v>37</v>
      </c>
      <c r="C71" s="20">
        <v>42468.410231481481</v>
      </c>
      <c r="D71" s="2" t="s">
        <v>5</v>
      </c>
      <c r="E71" s="2" t="s">
        <v>135</v>
      </c>
      <c r="F71" s="20">
        <v>42468.412951388891</v>
      </c>
      <c r="G71" s="20"/>
      <c r="H71" s="20"/>
      <c r="I71">
        <v>71</v>
      </c>
    </row>
    <row r="72" spans="1:9" ht="25.5" x14ac:dyDescent="0.2">
      <c r="A72" s="2" t="s">
        <v>279</v>
      </c>
      <c r="B72" s="2" t="s">
        <v>37</v>
      </c>
      <c r="C72" s="20">
        <v>42473.513958333337</v>
      </c>
      <c r="D72" s="2" t="s">
        <v>5</v>
      </c>
      <c r="E72" s="2" t="s">
        <v>40</v>
      </c>
      <c r="F72" s="20">
        <v>42473.513981481483</v>
      </c>
      <c r="G72" s="20"/>
      <c r="H72" s="20"/>
      <c r="I72">
        <v>72</v>
      </c>
    </row>
    <row r="73" spans="1:9" ht="25.5" x14ac:dyDescent="0.2">
      <c r="A73" s="2" t="s">
        <v>279</v>
      </c>
      <c r="B73" s="2" t="s">
        <v>37</v>
      </c>
      <c r="C73" s="20">
        <v>42473.513958333337</v>
      </c>
      <c r="D73" s="2" t="s">
        <v>5</v>
      </c>
      <c r="E73" s="2" t="s">
        <v>39</v>
      </c>
      <c r="F73" s="20">
        <v>42473.514548611114</v>
      </c>
      <c r="G73" s="20"/>
      <c r="H73" s="20"/>
      <c r="I73">
        <v>73</v>
      </c>
    </row>
    <row r="74" spans="1:9" ht="25.5" x14ac:dyDescent="0.2">
      <c r="A74" s="2" t="s">
        <v>279</v>
      </c>
      <c r="B74" s="2" t="s">
        <v>37</v>
      </c>
      <c r="C74" s="20">
        <v>42473.513958333337</v>
      </c>
      <c r="D74" s="2" t="s">
        <v>5</v>
      </c>
      <c r="E74" s="2" t="s">
        <v>135</v>
      </c>
      <c r="F74" s="20">
        <v>42473.650509259256</v>
      </c>
      <c r="G74" s="20"/>
      <c r="H74" s="20"/>
      <c r="I74">
        <v>74</v>
      </c>
    </row>
    <row r="75" spans="1:9" ht="25.5" x14ac:dyDescent="0.2">
      <c r="A75" s="2" t="s">
        <v>278</v>
      </c>
      <c r="B75" s="2" t="s">
        <v>37</v>
      </c>
      <c r="C75" s="20">
        <v>42474.463877314818</v>
      </c>
      <c r="D75" s="2" t="s">
        <v>5</v>
      </c>
      <c r="E75" s="2" t="s">
        <v>40</v>
      </c>
      <c r="F75" s="20">
        <v>42474.463888888888</v>
      </c>
      <c r="G75" s="20"/>
      <c r="H75" s="20"/>
      <c r="I75">
        <v>75</v>
      </c>
    </row>
    <row r="76" spans="1:9" ht="25.5" x14ac:dyDescent="0.2">
      <c r="A76" s="2" t="s">
        <v>278</v>
      </c>
      <c r="B76" s="2" t="s">
        <v>37</v>
      </c>
      <c r="C76" s="20">
        <v>42474.463877314818</v>
      </c>
      <c r="D76" s="2" t="s">
        <v>5</v>
      </c>
      <c r="E76" s="2" t="s">
        <v>39</v>
      </c>
      <c r="F76" s="20">
        <v>42474.464363425926</v>
      </c>
      <c r="G76" s="20"/>
      <c r="H76" s="20"/>
      <c r="I76">
        <v>76</v>
      </c>
    </row>
    <row r="77" spans="1:9" ht="25.5" x14ac:dyDescent="0.2">
      <c r="A77" s="2" t="s">
        <v>278</v>
      </c>
      <c r="B77" s="2" t="s">
        <v>37</v>
      </c>
      <c r="C77" s="20">
        <v>42474.463877314818</v>
      </c>
      <c r="D77" s="2" t="s">
        <v>5</v>
      </c>
      <c r="E77" s="2" t="s">
        <v>135</v>
      </c>
      <c r="F77" s="20">
        <v>42474.4924537037</v>
      </c>
      <c r="G77" s="20"/>
      <c r="H77" s="20"/>
      <c r="I77">
        <v>77</v>
      </c>
    </row>
    <row r="78" spans="1:9" ht="25.5" x14ac:dyDescent="0.2">
      <c r="A78" s="2" t="s">
        <v>277</v>
      </c>
      <c r="B78" s="2" t="s">
        <v>37</v>
      </c>
      <c r="C78" s="20">
        <v>42474.507141203707</v>
      </c>
      <c r="D78" s="2" t="s">
        <v>5</v>
      </c>
      <c r="E78" s="2" t="s">
        <v>40</v>
      </c>
      <c r="F78" s="20">
        <v>42474.507175925923</v>
      </c>
      <c r="G78" s="20"/>
      <c r="H78" s="20"/>
      <c r="I78">
        <v>78</v>
      </c>
    </row>
    <row r="79" spans="1:9" ht="25.5" x14ac:dyDescent="0.2">
      <c r="A79" s="2" t="s">
        <v>277</v>
      </c>
      <c r="B79" s="2" t="s">
        <v>37</v>
      </c>
      <c r="C79" s="20">
        <v>42474.507141203707</v>
      </c>
      <c r="D79" s="2" t="s">
        <v>5</v>
      </c>
      <c r="E79" s="2" t="s">
        <v>135</v>
      </c>
      <c r="F79" s="20">
        <v>42474.511562500003</v>
      </c>
      <c r="G79" s="20"/>
      <c r="H79" s="20"/>
      <c r="I79">
        <v>79</v>
      </c>
    </row>
    <row r="80" spans="1:9" ht="25.5" x14ac:dyDescent="0.2">
      <c r="A80" s="2" t="s">
        <v>276</v>
      </c>
      <c r="B80" s="2" t="s">
        <v>37</v>
      </c>
      <c r="C80" s="20">
        <v>42474.596712962964</v>
      </c>
      <c r="D80" s="2" t="s">
        <v>5</v>
      </c>
      <c r="E80" s="2" t="s">
        <v>40</v>
      </c>
      <c r="F80" s="20">
        <v>42474.596747685187</v>
      </c>
      <c r="G80" s="20"/>
      <c r="H80" s="20"/>
      <c r="I80">
        <v>80</v>
      </c>
    </row>
    <row r="81" spans="1:9" ht="25.5" x14ac:dyDescent="0.2">
      <c r="A81" s="2" t="s">
        <v>276</v>
      </c>
      <c r="B81" s="2" t="s">
        <v>37</v>
      </c>
      <c r="C81" s="20">
        <v>42474.596712962964</v>
      </c>
      <c r="D81" s="2" t="s">
        <v>5</v>
      </c>
      <c r="E81" s="2" t="s">
        <v>39</v>
      </c>
      <c r="F81" s="20">
        <v>42474.598425925928</v>
      </c>
      <c r="G81" s="20"/>
      <c r="H81" s="20"/>
      <c r="I81">
        <v>81</v>
      </c>
    </row>
    <row r="82" spans="1:9" ht="25.5" x14ac:dyDescent="0.2">
      <c r="A82" s="2" t="s">
        <v>276</v>
      </c>
      <c r="B82" s="2" t="s">
        <v>37</v>
      </c>
      <c r="C82" s="20">
        <v>42474.596712962964</v>
      </c>
      <c r="D82" s="2" t="s">
        <v>5</v>
      </c>
      <c r="E82" s="2" t="s">
        <v>135</v>
      </c>
      <c r="F82" s="20">
        <v>42474.602407407408</v>
      </c>
      <c r="G82" s="20"/>
      <c r="H82" s="20"/>
      <c r="I82">
        <v>82</v>
      </c>
    </row>
    <row r="83" spans="1:9" ht="25.5" x14ac:dyDescent="0.2">
      <c r="A83" s="2" t="s">
        <v>275</v>
      </c>
      <c r="B83" s="2" t="s">
        <v>37</v>
      </c>
      <c r="C83" s="20">
        <v>42474.596724537034</v>
      </c>
      <c r="D83" s="2" t="s">
        <v>5</v>
      </c>
      <c r="E83" s="2" t="s">
        <v>40</v>
      </c>
      <c r="F83" s="20">
        <v>42474.596736111111</v>
      </c>
      <c r="G83" s="20"/>
      <c r="H83" s="20"/>
      <c r="I83">
        <v>83</v>
      </c>
    </row>
    <row r="84" spans="1:9" ht="25.5" x14ac:dyDescent="0.2">
      <c r="A84" s="2" t="s">
        <v>275</v>
      </c>
      <c r="B84" s="2" t="s">
        <v>37</v>
      </c>
      <c r="C84" s="20">
        <v>42474.596724537034</v>
      </c>
      <c r="D84" s="2" t="s">
        <v>5</v>
      </c>
      <c r="E84" s="2" t="s">
        <v>39</v>
      </c>
      <c r="F84" s="20">
        <v>42474.598101851851</v>
      </c>
      <c r="G84" s="20"/>
      <c r="H84" s="20"/>
      <c r="I84">
        <v>84</v>
      </c>
    </row>
    <row r="85" spans="1:9" ht="25.5" x14ac:dyDescent="0.2">
      <c r="A85" s="2" t="s">
        <v>275</v>
      </c>
      <c r="B85" s="2" t="s">
        <v>37</v>
      </c>
      <c r="C85" s="20">
        <v>42474.596724537034</v>
      </c>
      <c r="D85" s="2" t="s">
        <v>5</v>
      </c>
      <c r="E85" s="2" t="s">
        <v>135</v>
      </c>
      <c r="F85" s="20">
        <v>42474.602743055555</v>
      </c>
      <c r="G85" s="20"/>
      <c r="H85" s="20"/>
      <c r="I85">
        <v>85</v>
      </c>
    </row>
    <row r="86" spans="1:9" ht="25.5" x14ac:dyDescent="0.2">
      <c r="A86" s="2" t="s">
        <v>274</v>
      </c>
      <c r="B86" s="2" t="s">
        <v>37</v>
      </c>
      <c r="C86" s="20">
        <v>42479.40247685185</v>
      </c>
      <c r="D86" s="2" t="s">
        <v>5</v>
      </c>
      <c r="E86" s="2" t="s">
        <v>40</v>
      </c>
      <c r="F86" s="20">
        <v>42479.402499999997</v>
      </c>
      <c r="G86" s="20"/>
      <c r="H86" s="20"/>
      <c r="I86">
        <v>86</v>
      </c>
    </row>
    <row r="87" spans="1:9" ht="25.5" x14ac:dyDescent="0.2">
      <c r="A87" s="2" t="s">
        <v>274</v>
      </c>
      <c r="B87" s="2" t="s">
        <v>37</v>
      </c>
      <c r="C87" s="20">
        <v>42479.40247685185</v>
      </c>
      <c r="D87" s="2" t="s">
        <v>5</v>
      </c>
      <c r="E87" s="2" t="s">
        <v>39</v>
      </c>
      <c r="F87" s="20">
        <v>42479.440740740742</v>
      </c>
      <c r="G87" s="20"/>
      <c r="H87" s="20"/>
      <c r="I87">
        <v>87</v>
      </c>
    </row>
    <row r="88" spans="1:9" ht="25.5" x14ac:dyDescent="0.2">
      <c r="A88" s="2" t="s">
        <v>274</v>
      </c>
      <c r="B88" s="2" t="s">
        <v>37</v>
      </c>
      <c r="C88" s="20">
        <v>42479.40247685185</v>
      </c>
      <c r="D88" s="2" t="s">
        <v>5</v>
      </c>
      <c r="E88" s="2" t="s">
        <v>135</v>
      </c>
      <c r="F88" s="20">
        <v>42479.445173611108</v>
      </c>
      <c r="G88" s="20"/>
      <c r="H88" s="20"/>
      <c r="I88">
        <v>88</v>
      </c>
    </row>
    <row r="89" spans="1:9" ht="25.5" x14ac:dyDescent="0.2">
      <c r="A89" s="2" t="s">
        <v>273</v>
      </c>
      <c r="B89" s="2" t="s">
        <v>37</v>
      </c>
      <c r="C89" s="20">
        <v>42479.483981481484</v>
      </c>
      <c r="D89" s="2" t="s">
        <v>5</v>
      </c>
      <c r="E89" s="2" t="s">
        <v>40</v>
      </c>
      <c r="F89" s="20">
        <v>42479.4840625</v>
      </c>
      <c r="G89" s="20"/>
      <c r="H89" s="20"/>
      <c r="I89">
        <v>89</v>
      </c>
    </row>
    <row r="90" spans="1:9" ht="25.5" x14ac:dyDescent="0.2">
      <c r="A90" s="2" t="s">
        <v>273</v>
      </c>
      <c r="B90" s="2" t="s">
        <v>37</v>
      </c>
      <c r="C90" s="20">
        <v>42479.483981481484</v>
      </c>
      <c r="D90" s="2" t="s">
        <v>5</v>
      </c>
      <c r="E90" s="2" t="s">
        <v>39</v>
      </c>
      <c r="F90" s="20">
        <v>42479.51871527778</v>
      </c>
      <c r="G90" s="20"/>
      <c r="H90" s="20"/>
      <c r="I90">
        <v>90</v>
      </c>
    </row>
    <row r="91" spans="1:9" ht="25.5" x14ac:dyDescent="0.2">
      <c r="A91" s="2" t="s">
        <v>273</v>
      </c>
      <c r="B91" s="2" t="s">
        <v>37</v>
      </c>
      <c r="C91" s="20">
        <v>42479.483981481484</v>
      </c>
      <c r="D91" s="2" t="s">
        <v>5</v>
      </c>
      <c r="E91" s="2" t="s">
        <v>135</v>
      </c>
      <c r="F91" s="20">
        <v>42479.52076388889</v>
      </c>
      <c r="G91" s="20"/>
      <c r="H91" s="20"/>
      <c r="I91">
        <v>91</v>
      </c>
    </row>
    <row r="92" spans="1:9" ht="25.5" x14ac:dyDescent="0.2">
      <c r="A92" s="2" t="s">
        <v>272</v>
      </c>
      <c r="B92" s="2" t="s">
        <v>37</v>
      </c>
      <c r="C92" s="20">
        <v>42489.438391203701</v>
      </c>
      <c r="D92" s="2" t="s">
        <v>5</v>
      </c>
      <c r="E92" s="2" t="s">
        <v>40</v>
      </c>
      <c r="F92" s="20">
        <v>42489.438472222224</v>
      </c>
      <c r="G92" s="20"/>
      <c r="H92" s="20"/>
      <c r="I92">
        <v>92</v>
      </c>
    </row>
    <row r="93" spans="1:9" ht="25.5" x14ac:dyDescent="0.2">
      <c r="A93" s="2" t="s">
        <v>272</v>
      </c>
      <c r="B93" s="2" t="s">
        <v>37</v>
      </c>
      <c r="C93" s="20">
        <v>42489.438391203701</v>
      </c>
      <c r="D93" s="2" t="s">
        <v>5</v>
      </c>
      <c r="E93" s="2" t="s">
        <v>69</v>
      </c>
      <c r="F93" s="20">
        <v>42489.43891203704</v>
      </c>
      <c r="G93" s="20"/>
      <c r="H93" s="20"/>
      <c r="I93">
        <v>93</v>
      </c>
    </row>
    <row r="94" spans="1:9" ht="25.5" x14ac:dyDescent="0.2">
      <c r="A94" s="2" t="s">
        <v>272</v>
      </c>
      <c r="B94" s="2" t="s">
        <v>37</v>
      </c>
      <c r="C94" s="20">
        <v>42489.438391203701</v>
      </c>
      <c r="D94" s="2" t="s">
        <v>5</v>
      </c>
      <c r="E94" s="2" t="s">
        <v>135</v>
      </c>
      <c r="F94" s="20">
        <v>42489.442210648151</v>
      </c>
      <c r="G94" s="20"/>
      <c r="H94" s="20"/>
      <c r="I94">
        <v>94</v>
      </c>
    </row>
    <row r="95" spans="1:9" ht="25.5" x14ac:dyDescent="0.2">
      <c r="A95" s="2" t="s">
        <v>271</v>
      </c>
      <c r="B95" s="2" t="s">
        <v>37</v>
      </c>
      <c r="C95" s="20">
        <v>42514.392870370371</v>
      </c>
      <c r="D95" s="2" t="s">
        <v>5</v>
      </c>
      <c r="E95" s="2" t="s">
        <v>40</v>
      </c>
      <c r="F95" s="20">
        <v>42514.392881944441</v>
      </c>
      <c r="G95" s="20"/>
      <c r="H95" s="20"/>
      <c r="I95">
        <v>95</v>
      </c>
    </row>
    <row r="96" spans="1:9" ht="25.5" x14ac:dyDescent="0.2">
      <c r="A96" s="2" t="s">
        <v>271</v>
      </c>
      <c r="B96" s="2" t="s">
        <v>37</v>
      </c>
      <c r="C96" s="20">
        <v>42514.392870370371</v>
      </c>
      <c r="D96" s="2" t="s">
        <v>5</v>
      </c>
      <c r="E96" s="2" t="s">
        <v>135</v>
      </c>
      <c r="F96" s="20">
        <v>42514.394212962965</v>
      </c>
      <c r="G96" s="20"/>
      <c r="H96" s="20"/>
      <c r="I96">
        <v>96</v>
      </c>
    </row>
    <row r="97" spans="1:9" ht="25.5" x14ac:dyDescent="0.2">
      <c r="A97" s="2" t="s">
        <v>268</v>
      </c>
      <c r="B97" s="2" t="s">
        <v>37</v>
      </c>
      <c r="C97" s="20">
        <v>42521.494409722225</v>
      </c>
      <c r="D97" s="2" t="s">
        <v>5</v>
      </c>
      <c r="E97" s="2" t="s">
        <v>40</v>
      </c>
      <c r="F97" s="20">
        <v>42521.494490740741</v>
      </c>
      <c r="G97" s="20"/>
      <c r="H97" s="20"/>
      <c r="I97">
        <v>97</v>
      </c>
    </row>
    <row r="98" spans="1:9" ht="25.5" x14ac:dyDescent="0.2">
      <c r="A98" s="2" t="s">
        <v>268</v>
      </c>
      <c r="B98" s="2" t="s">
        <v>37</v>
      </c>
      <c r="C98" s="20">
        <v>42521.494409722225</v>
      </c>
      <c r="D98" s="2" t="s">
        <v>5</v>
      </c>
      <c r="E98" s="2" t="s">
        <v>270</v>
      </c>
      <c r="F98" s="20">
        <v>42521.500115740739</v>
      </c>
      <c r="G98" s="20"/>
      <c r="H98" s="20"/>
      <c r="I98">
        <v>98</v>
      </c>
    </row>
    <row r="99" spans="1:9" ht="25.5" x14ac:dyDescent="0.2">
      <c r="A99" s="2" t="s">
        <v>268</v>
      </c>
      <c r="B99" s="2" t="s">
        <v>37</v>
      </c>
      <c r="C99" s="20">
        <v>42521.494409722225</v>
      </c>
      <c r="D99" s="2" t="s">
        <v>5</v>
      </c>
      <c r="E99" s="2" t="s">
        <v>89</v>
      </c>
      <c r="F99" s="20">
        <v>42521.525277777779</v>
      </c>
      <c r="G99" s="20"/>
      <c r="H99" s="20"/>
      <c r="I99">
        <v>99</v>
      </c>
    </row>
    <row r="100" spans="1:9" ht="25.5" x14ac:dyDescent="0.2">
      <c r="A100" s="2" t="s">
        <v>268</v>
      </c>
      <c r="B100" s="2" t="s">
        <v>37</v>
      </c>
      <c r="C100" s="20">
        <v>42521.494409722225</v>
      </c>
      <c r="D100" s="2" t="s">
        <v>5</v>
      </c>
      <c r="E100" s="2" t="s">
        <v>269</v>
      </c>
      <c r="F100" s="20">
        <v>42521.618541666663</v>
      </c>
      <c r="G100" s="20"/>
      <c r="H100" s="20"/>
      <c r="I100">
        <v>100</v>
      </c>
    </row>
    <row r="101" spans="1:9" ht="25.5" x14ac:dyDescent="0.2">
      <c r="A101" s="2" t="s">
        <v>268</v>
      </c>
      <c r="B101" s="2" t="s">
        <v>37</v>
      </c>
      <c r="C101" s="20">
        <v>42521.494409722225</v>
      </c>
      <c r="D101" s="2" t="s">
        <v>5</v>
      </c>
      <c r="E101" s="2" t="s">
        <v>39</v>
      </c>
      <c r="F101" s="20">
        <v>42521.621689814812</v>
      </c>
      <c r="G101" s="20"/>
      <c r="H101" s="20"/>
      <c r="I101">
        <v>101</v>
      </c>
    </row>
    <row r="102" spans="1:9" ht="25.5" x14ac:dyDescent="0.2">
      <c r="A102" s="2" t="s">
        <v>268</v>
      </c>
      <c r="B102" s="2" t="s">
        <v>37</v>
      </c>
      <c r="C102" s="20">
        <v>42521.494409722225</v>
      </c>
      <c r="D102" s="2" t="s">
        <v>5</v>
      </c>
      <c r="E102" s="2" t="s">
        <v>69</v>
      </c>
      <c r="F102" s="20">
        <v>42521.644791666666</v>
      </c>
      <c r="G102" s="20"/>
      <c r="H102" s="20"/>
      <c r="I102">
        <v>102</v>
      </c>
    </row>
    <row r="103" spans="1:9" ht="51" x14ac:dyDescent="0.2">
      <c r="A103" s="2" t="s">
        <v>268</v>
      </c>
      <c r="B103" s="2" t="s">
        <v>37</v>
      </c>
      <c r="C103" s="20">
        <v>42521.494409722225</v>
      </c>
      <c r="D103" s="2" t="s">
        <v>6</v>
      </c>
      <c r="E103" s="2" t="s">
        <v>266</v>
      </c>
      <c r="F103" s="20">
        <v>42521.64565972222</v>
      </c>
      <c r="G103" s="20"/>
      <c r="H103" s="20"/>
      <c r="I103">
        <v>103</v>
      </c>
    </row>
    <row r="104" spans="1:9" ht="25.5" x14ac:dyDescent="0.2">
      <c r="A104" s="2" t="s">
        <v>268</v>
      </c>
      <c r="B104" s="2" t="s">
        <v>37</v>
      </c>
      <c r="C104" s="20">
        <v>42521.494409722225</v>
      </c>
      <c r="D104" s="2" t="s">
        <v>5</v>
      </c>
      <c r="E104" s="2" t="s">
        <v>135</v>
      </c>
      <c r="F104" s="20">
        <v>42521.646006944444</v>
      </c>
      <c r="G104" s="20"/>
      <c r="H104" s="20"/>
      <c r="I104">
        <v>104</v>
      </c>
    </row>
    <row r="105" spans="1:9" ht="25.5" x14ac:dyDescent="0.2">
      <c r="A105" s="2" t="s">
        <v>267</v>
      </c>
      <c r="B105" s="2" t="s">
        <v>37</v>
      </c>
      <c r="C105" s="20">
        <v>42527.492800925924</v>
      </c>
      <c r="D105" s="2" t="s">
        <v>5</v>
      </c>
      <c r="E105" s="2" t="s">
        <v>40</v>
      </c>
      <c r="F105" s="20">
        <v>42527.492824074077</v>
      </c>
      <c r="G105" s="20"/>
      <c r="H105" s="20"/>
      <c r="I105">
        <v>105</v>
      </c>
    </row>
    <row r="106" spans="1:9" ht="25.5" x14ac:dyDescent="0.2">
      <c r="A106" s="2" t="s">
        <v>267</v>
      </c>
      <c r="B106" s="2" t="s">
        <v>37</v>
      </c>
      <c r="C106" s="20">
        <v>42527.492800925924</v>
      </c>
      <c r="D106" s="2" t="s">
        <v>5</v>
      </c>
      <c r="E106" s="2" t="s">
        <v>39</v>
      </c>
      <c r="F106" s="20">
        <v>42527.495636574073</v>
      </c>
      <c r="G106" s="20"/>
      <c r="H106" s="20"/>
      <c r="I106">
        <v>106</v>
      </c>
    </row>
    <row r="107" spans="1:9" ht="25.5" x14ac:dyDescent="0.2">
      <c r="A107" s="2" t="s">
        <v>267</v>
      </c>
      <c r="B107" s="2" t="s">
        <v>37</v>
      </c>
      <c r="C107" s="20">
        <v>42527.492800925924</v>
      </c>
      <c r="D107" s="2" t="s">
        <v>5</v>
      </c>
      <c r="E107" s="2" t="s">
        <v>135</v>
      </c>
      <c r="F107" s="20">
        <v>42527.537418981483</v>
      </c>
      <c r="G107" s="20"/>
      <c r="H107" s="20"/>
      <c r="I107">
        <v>107</v>
      </c>
    </row>
    <row r="108" spans="1:9" ht="25.5" x14ac:dyDescent="0.2">
      <c r="A108" s="2" t="s">
        <v>265</v>
      </c>
      <c r="B108" s="2" t="s">
        <v>37</v>
      </c>
      <c r="C108" s="20">
        <v>42527.49690972222</v>
      </c>
      <c r="D108" s="2" t="s">
        <v>5</v>
      </c>
      <c r="E108" s="2" t="s">
        <v>40</v>
      </c>
      <c r="F108" s="20">
        <v>42527.497025462966</v>
      </c>
      <c r="G108" s="20"/>
      <c r="H108" s="20"/>
      <c r="I108">
        <v>108</v>
      </c>
    </row>
    <row r="109" spans="1:9" ht="25.5" x14ac:dyDescent="0.2">
      <c r="A109" s="2" t="s">
        <v>265</v>
      </c>
      <c r="B109" s="2" t="s">
        <v>37</v>
      </c>
      <c r="C109" s="20">
        <v>42527.49690972222</v>
      </c>
      <c r="D109" s="2" t="s">
        <v>5</v>
      </c>
      <c r="E109" s="2" t="s">
        <v>69</v>
      </c>
      <c r="F109" s="20">
        <v>42527.500706018516</v>
      </c>
      <c r="G109" s="20"/>
      <c r="H109" s="20"/>
      <c r="I109">
        <v>109</v>
      </c>
    </row>
    <row r="110" spans="1:9" ht="25.5" x14ac:dyDescent="0.2">
      <c r="A110" s="2" t="s">
        <v>265</v>
      </c>
      <c r="B110" s="2" t="s">
        <v>37</v>
      </c>
      <c r="C110" s="20">
        <v>42527.49690972222</v>
      </c>
      <c r="D110" s="2" t="s">
        <v>5</v>
      </c>
      <c r="E110" s="2" t="s">
        <v>135</v>
      </c>
      <c r="F110" s="20">
        <v>42527.518310185187</v>
      </c>
      <c r="G110" s="20"/>
      <c r="H110" s="20"/>
      <c r="I110">
        <v>110</v>
      </c>
    </row>
    <row r="111" spans="1:9" ht="25.5" x14ac:dyDescent="0.2">
      <c r="A111" s="2" t="s">
        <v>265</v>
      </c>
      <c r="B111" s="2" t="s">
        <v>37</v>
      </c>
      <c r="C111" s="20">
        <v>42527.49690972222</v>
      </c>
      <c r="D111" s="2" t="s">
        <v>5</v>
      </c>
      <c r="E111" s="2" t="s">
        <v>69</v>
      </c>
      <c r="F111" s="20">
        <v>42527.519918981481</v>
      </c>
      <c r="G111" s="20"/>
      <c r="H111" s="20"/>
      <c r="I111">
        <v>111</v>
      </c>
    </row>
    <row r="112" spans="1:9" ht="51" x14ac:dyDescent="0.2">
      <c r="A112" s="2" t="s">
        <v>265</v>
      </c>
      <c r="B112" s="2" t="s">
        <v>37</v>
      </c>
      <c r="C112" s="20">
        <v>42527.49690972222</v>
      </c>
      <c r="D112" s="2" t="s">
        <v>6</v>
      </c>
      <c r="E112" s="2" t="s">
        <v>266</v>
      </c>
      <c r="F112" s="20">
        <v>42527.519918981481</v>
      </c>
      <c r="G112" s="20"/>
      <c r="H112" s="20"/>
      <c r="I112">
        <v>112</v>
      </c>
    </row>
    <row r="113" spans="1:9" ht="25.5" x14ac:dyDescent="0.2">
      <c r="A113" s="2" t="s">
        <v>265</v>
      </c>
      <c r="B113" s="2" t="s">
        <v>37</v>
      </c>
      <c r="C113" s="20">
        <v>42527.49690972222</v>
      </c>
      <c r="D113" s="2" t="s">
        <v>5</v>
      </c>
      <c r="E113" s="2" t="s">
        <v>135</v>
      </c>
      <c r="F113" s="20">
        <v>42527.520474537036</v>
      </c>
      <c r="G113" s="20"/>
      <c r="H113" s="20"/>
      <c r="I113">
        <v>113</v>
      </c>
    </row>
    <row r="114" spans="1:9" ht="25.5" x14ac:dyDescent="0.2">
      <c r="A114" s="2" t="s">
        <v>264</v>
      </c>
      <c r="B114" s="2" t="s">
        <v>37</v>
      </c>
      <c r="C114" s="20">
        <v>42534.472326388888</v>
      </c>
      <c r="D114" s="2" t="s">
        <v>5</v>
      </c>
      <c r="E114" s="2" t="s">
        <v>40</v>
      </c>
      <c r="F114" s="20">
        <v>42534.472430555557</v>
      </c>
      <c r="G114" s="20"/>
      <c r="H114" s="20"/>
      <c r="I114">
        <v>114</v>
      </c>
    </row>
    <row r="115" spans="1:9" ht="25.5" x14ac:dyDescent="0.2">
      <c r="A115" s="2" t="s">
        <v>264</v>
      </c>
      <c r="B115" s="2" t="s">
        <v>37</v>
      </c>
      <c r="C115" s="20">
        <v>42534.472326388888</v>
      </c>
      <c r="D115" s="2" t="s">
        <v>5</v>
      </c>
      <c r="E115" s="2" t="s">
        <v>39</v>
      </c>
      <c r="F115" s="20">
        <v>42534.472881944443</v>
      </c>
      <c r="G115" s="20"/>
      <c r="H115" s="20"/>
      <c r="I115">
        <v>115</v>
      </c>
    </row>
    <row r="116" spans="1:9" ht="25.5" x14ac:dyDescent="0.2">
      <c r="A116" s="2" t="s">
        <v>264</v>
      </c>
      <c r="B116" s="2" t="s">
        <v>37</v>
      </c>
      <c r="C116" s="20">
        <v>42534.472326388888</v>
      </c>
      <c r="D116" s="2" t="s">
        <v>5</v>
      </c>
      <c r="E116" s="2" t="s">
        <v>135</v>
      </c>
      <c r="F116" s="20">
        <v>42534.531087962961</v>
      </c>
      <c r="G116" s="20"/>
      <c r="H116" s="20"/>
      <c r="I116">
        <v>116</v>
      </c>
    </row>
    <row r="117" spans="1:9" ht="25.5" x14ac:dyDescent="0.2">
      <c r="A117" s="2" t="s">
        <v>263</v>
      </c>
      <c r="B117" s="2" t="s">
        <v>37</v>
      </c>
      <c r="C117" s="20">
        <v>42558.516319444447</v>
      </c>
      <c r="D117" s="2" t="s">
        <v>5</v>
      </c>
      <c r="E117" s="2" t="s">
        <v>40</v>
      </c>
      <c r="F117" s="20">
        <v>42558.516342592593</v>
      </c>
      <c r="G117" s="20"/>
      <c r="H117" s="20"/>
      <c r="I117">
        <v>117</v>
      </c>
    </row>
    <row r="118" spans="1:9" ht="25.5" x14ac:dyDescent="0.2">
      <c r="A118" s="2" t="s">
        <v>263</v>
      </c>
      <c r="B118" s="2" t="s">
        <v>37</v>
      </c>
      <c r="C118" s="20">
        <v>42558.516319444447</v>
      </c>
      <c r="D118" s="2" t="s">
        <v>5</v>
      </c>
      <c r="E118" s="2" t="s">
        <v>39</v>
      </c>
      <c r="F118" s="20">
        <v>42558.516851851855</v>
      </c>
      <c r="G118" s="20"/>
      <c r="H118" s="20"/>
      <c r="I118">
        <v>118</v>
      </c>
    </row>
    <row r="119" spans="1:9" ht="25.5" x14ac:dyDescent="0.2">
      <c r="A119" s="2" t="s">
        <v>263</v>
      </c>
      <c r="B119" s="2" t="s">
        <v>37</v>
      </c>
      <c r="C119" s="20">
        <v>42558.516319444447</v>
      </c>
      <c r="D119" s="2" t="s">
        <v>5</v>
      </c>
      <c r="E119" s="2" t="s">
        <v>135</v>
      </c>
      <c r="F119" s="20">
        <v>42558.533067129632</v>
      </c>
      <c r="G119" s="20"/>
      <c r="H119" s="20"/>
      <c r="I119">
        <v>119</v>
      </c>
    </row>
    <row r="120" spans="1:9" ht="25.5" x14ac:dyDescent="0.2">
      <c r="A120" s="2" t="s">
        <v>262</v>
      </c>
      <c r="B120" s="2" t="s">
        <v>37</v>
      </c>
      <c r="C120" s="20">
        <v>42558.557685185187</v>
      </c>
      <c r="D120" s="2" t="s">
        <v>5</v>
      </c>
      <c r="E120" s="2" t="s">
        <v>40</v>
      </c>
      <c r="F120" s="20">
        <v>42558.55773148148</v>
      </c>
      <c r="G120" s="20"/>
      <c r="H120" s="20"/>
      <c r="I120">
        <v>120</v>
      </c>
    </row>
    <row r="121" spans="1:9" ht="25.5" x14ac:dyDescent="0.2">
      <c r="A121" s="2" t="s">
        <v>262</v>
      </c>
      <c r="B121" s="2" t="s">
        <v>37</v>
      </c>
      <c r="C121" s="20">
        <v>42558.557685185187</v>
      </c>
      <c r="D121" s="2" t="s">
        <v>5</v>
      </c>
      <c r="E121" s="2" t="s">
        <v>39</v>
      </c>
      <c r="F121" s="20">
        <v>42558.559675925928</v>
      </c>
      <c r="G121" s="20"/>
      <c r="H121" s="20"/>
      <c r="I121">
        <v>121</v>
      </c>
    </row>
    <row r="122" spans="1:9" ht="25.5" x14ac:dyDescent="0.2">
      <c r="A122" s="2" t="s">
        <v>262</v>
      </c>
      <c r="B122" s="2" t="s">
        <v>37</v>
      </c>
      <c r="C122" s="20">
        <v>42558.557685185187</v>
      </c>
      <c r="D122" s="2" t="s">
        <v>5</v>
      </c>
      <c r="E122" s="2" t="s">
        <v>235</v>
      </c>
      <c r="F122" s="20">
        <v>42558.568923611114</v>
      </c>
      <c r="G122" s="20"/>
      <c r="H122" s="20"/>
      <c r="I122">
        <v>122</v>
      </c>
    </row>
    <row r="123" spans="1:9" ht="25.5" x14ac:dyDescent="0.2">
      <c r="A123" s="2" t="s">
        <v>261</v>
      </c>
      <c r="B123" s="2" t="s">
        <v>37</v>
      </c>
      <c r="C123" s="20">
        <v>42562.731226851851</v>
      </c>
      <c r="D123" s="2" t="s">
        <v>5</v>
      </c>
      <c r="E123" s="2" t="s">
        <v>40</v>
      </c>
      <c r="F123" s="20">
        <v>42562.73128472222</v>
      </c>
      <c r="G123" s="20"/>
      <c r="H123" s="20"/>
      <c r="I123">
        <v>123</v>
      </c>
    </row>
    <row r="124" spans="1:9" ht="25.5" x14ac:dyDescent="0.2">
      <c r="A124" s="2" t="s">
        <v>261</v>
      </c>
      <c r="B124" s="2" t="s">
        <v>37</v>
      </c>
      <c r="C124" s="20">
        <v>42562.731226851851</v>
      </c>
      <c r="D124" s="2" t="s">
        <v>5</v>
      </c>
      <c r="E124" s="2" t="s">
        <v>39</v>
      </c>
      <c r="F124" s="20">
        <v>42562.735879629632</v>
      </c>
      <c r="G124" s="20"/>
      <c r="H124" s="20"/>
      <c r="I124">
        <v>124</v>
      </c>
    </row>
    <row r="125" spans="1:9" ht="63.75" x14ac:dyDescent="0.2">
      <c r="A125" s="2" t="s">
        <v>261</v>
      </c>
      <c r="B125" s="2" t="s">
        <v>37</v>
      </c>
      <c r="C125" s="20">
        <v>42562.731226851851</v>
      </c>
      <c r="D125" s="2" t="s">
        <v>6</v>
      </c>
      <c r="E125" s="2" t="s">
        <v>36</v>
      </c>
      <c r="F125" s="20">
        <v>42562.755694444444</v>
      </c>
      <c r="G125" s="20"/>
      <c r="H125" s="20"/>
      <c r="I125">
        <v>125</v>
      </c>
    </row>
    <row r="126" spans="1:9" ht="25.5" x14ac:dyDescent="0.2">
      <c r="A126" s="2" t="s">
        <v>261</v>
      </c>
      <c r="B126" s="2" t="s">
        <v>37</v>
      </c>
      <c r="C126" s="20">
        <v>42562.731226851851</v>
      </c>
      <c r="D126" s="2" t="s">
        <v>5</v>
      </c>
      <c r="E126" s="2" t="s">
        <v>69</v>
      </c>
      <c r="F126" s="20">
        <v>42563.515289351853</v>
      </c>
      <c r="G126" s="20"/>
      <c r="H126" s="20"/>
      <c r="I126">
        <v>126</v>
      </c>
    </row>
    <row r="127" spans="1:9" ht="51" x14ac:dyDescent="0.2">
      <c r="A127" s="2" t="s">
        <v>261</v>
      </c>
      <c r="B127" s="2" t="s">
        <v>37</v>
      </c>
      <c r="C127" s="20">
        <v>42562.731226851851</v>
      </c>
      <c r="D127" s="2" t="s">
        <v>6</v>
      </c>
      <c r="E127" s="2" t="s">
        <v>105</v>
      </c>
      <c r="F127" s="20">
        <v>42563.516111111108</v>
      </c>
      <c r="G127" s="20"/>
      <c r="H127" s="20"/>
      <c r="I127">
        <v>127</v>
      </c>
    </row>
    <row r="128" spans="1:9" ht="25.5" x14ac:dyDescent="0.2">
      <c r="A128" s="2" t="s">
        <v>261</v>
      </c>
      <c r="B128" s="2" t="s">
        <v>37</v>
      </c>
      <c r="C128" s="20">
        <v>42562.731226851851</v>
      </c>
      <c r="D128" s="2" t="s">
        <v>5</v>
      </c>
      <c r="E128" s="2" t="s">
        <v>135</v>
      </c>
      <c r="F128" s="20">
        <v>42563.516388888886</v>
      </c>
      <c r="G128" s="20"/>
      <c r="H128" s="20"/>
      <c r="I128">
        <v>128</v>
      </c>
    </row>
    <row r="129" spans="1:9" ht="25.5" x14ac:dyDescent="0.2">
      <c r="A129" s="2" t="s">
        <v>260</v>
      </c>
      <c r="B129" s="2" t="s">
        <v>37</v>
      </c>
      <c r="C129" s="20">
        <v>42565.532152777778</v>
      </c>
      <c r="D129" s="2" t="s">
        <v>5</v>
      </c>
      <c r="E129" s="2" t="s">
        <v>40</v>
      </c>
      <c r="F129" s="20">
        <v>42565.532187500001</v>
      </c>
      <c r="G129" s="20"/>
      <c r="H129" s="20"/>
      <c r="I129">
        <v>129</v>
      </c>
    </row>
    <row r="130" spans="1:9" ht="25.5" x14ac:dyDescent="0.2">
      <c r="A130" s="2" t="s">
        <v>260</v>
      </c>
      <c r="B130" s="2" t="s">
        <v>37</v>
      </c>
      <c r="C130" s="20">
        <v>42565.532152777778</v>
      </c>
      <c r="D130" s="2" t="s">
        <v>5</v>
      </c>
      <c r="E130" s="2" t="s">
        <v>39</v>
      </c>
      <c r="F130" s="20">
        <v>42565.532893518517</v>
      </c>
      <c r="G130" s="20"/>
      <c r="H130" s="20"/>
      <c r="I130">
        <v>130</v>
      </c>
    </row>
    <row r="131" spans="1:9" ht="63.75" x14ac:dyDescent="0.2">
      <c r="A131" s="2" t="s">
        <v>260</v>
      </c>
      <c r="B131" s="2" t="s">
        <v>37</v>
      </c>
      <c r="C131" s="20">
        <v>42565.532152777778</v>
      </c>
      <c r="D131" s="2" t="s">
        <v>6</v>
      </c>
      <c r="E131" s="2" t="s">
        <v>47</v>
      </c>
      <c r="F131" s="20">
        <v>42565.535821759258</v>
      </c>
      <c r="G131" s="20"/>
      <c r="H131" s="20"/>
      <c r="I131">
        <v>131</v>
      </c>
    </row>
    <row r="132" spans="1:9" ht="25.5" x14ac:dyDescent="0.2">
      <c r="A132" s="2" t="s">
        <v>260</v>
      </c>
      <c r="B132" s="2" t="s">
        <v>37</v>
      </c>
      <c r="C132" s="20">
        <v>42565.532152777778</v>
      </c>
      <c r="D132" s="2" t="s">
        <v>5</v>
      </c>
      <c r="E132" s="2" t="s">
        <v>71</v>
      </c>
      <c r="F132" s="20">
        <v>42566.334791666668</v>
      </c>
      <c r="G132" s="20"/>
      <c r="H132" s="20"/>
      <c r="I132">
        <v>132</v>
      </c>
    </row>
    <row r="133" spans="1:9" ht="25.5" x14ac:dyDescent="0.2">
      <c r="A133" s="2" t="s">
        <v>260</v>
      </c>
      <c r="B133" s="2" t="s">
        <v>37</v>
      </c>
      <c r="C133" s="20">
        <v>42565.532152777778</v>
      </c>
      <c r="D133" s="2" t="s">
        <v>5</v>
      </c>
      <c r="E133" s="2" t="s">
        <v>39</v>
      </c>
      <c r="F133" s="20">
        <v>42569.571053240739</v>
      </c>
      <c r="G133" s="20"/>
      <c r="H133" s="20"/>
      <c r="I133">
        <v>133</v>
      </c>
    </row>
    <row r="134" spans="1:9" ht="25.5" x14ac:dyDescent="0.2">
      <c r="A134" s="2" t="s">
        <v>260</v>
      </c>
      <c r="B134" s="2" t="s">
        <v>37</v>
      </c>
      <c r="C134" s="20">
        <v>42565.532152777778</v>
      </c>
      <c r="D134" s="2" t="s">
        <v>5</v>
      </c>
      <c r="E134" s="2" t="s">
        <v>69</v>
      </c>
      <c r="F134" s="20">
        <v>42569.575925925928</v>
      </c>
      <c r="G134" s="20"/>
      <c r="H134" s="20"/>
      <c r="I134">
        <v>134</v>
      </c>
    </row>
    <row r="135" spans="1:9" ht="51" x14ac:dyDescent="0.2">
      <c r="A135" s="2" t="s">
        <v>260</v>
      </c>
      <c r="B135" s="2" t="s">
        <v>37</v>
      </c>
      <c r="C135" s="20">
        <v>42565.532152777778</v>
      </c>
      <c r="D135" s="2" t="s">
        <v>6</v>
      </c>
      <c r="E135" s="2" t="s">
        <v>105</v>
      </c>
      <c r="F135" s="20">
        <v>42569.593275462961</v>
      </c>
      <c r="G135" s="20"/>
      <c r="H135" s="20"/>
      <c r="I135">
        <v>135</v>
      </c>
    </row>
    <row r="136" spans="1:9" ht="25.5" x14ac:dyDescent="0.2">
      <c r="A136" s="2" t="s">
        <v>260</v>
      </c>
      <c r="B136" s="2" t="s">
        <v>37</v>
      </c>
      <c r="C136" s="20">
        <v>42565.532152777778</v>
      </c>
      <c r="D136" s="2" t="s">
        <v>5</v>
      </c>
      <c r="E136" s="2" t="s">
        <v>135</v>
      </c>
      <c r="F136" s="20">
        <v>42569.593587962961</v>
      </c>
      <c r="G136" s="20"/>
      <c r="H136" s="20"/>
      <c r="I136">
        <v>136</v>
      </c>
    </row>
    <row r="137" spans="1:9" ht="25.5" x14ac:dyDescent="0.2">
      <c r="A137" s="2" t="s">
        <v>259</v>
      </c>
      <c r="B137" s="2" t="s">
        <v>37</v>
      </c>
      <c r="C137" s="20">
        <v>42565.580069444448</v>
      </c>
      <c r="D137" s="2" t="s">
        <v>5</v>
      </c>
      <c r="E137" s="2" t="s">
        <v>40</v>
      </c>
      <c r="F137" s="20">
        <v>42565.580092592594</v>
      </c>
      <c r="G137" s="20"/>
      <c r="H137" s="20"/>
      <c r="I137">
        <v>137</v>
      </c>
    </row>
    <row r="138" spans="1:9" ht="25.5" x14ac:dyDescent="0.2">
      <c r="A138" s="2" t="s">
        <v>259</v>
      </c>
      <c r="B138" s="2" t="s">
        <v>37</v>
      </c>
      <c r="C138" s="20">
        <v>42565.580069444448</v>
      </c>
      <c r="D138" s="2" t="s">
        <v>5</v>
      </c>
      <c r="E138" s="2" t="s">
        <v>39</v>
      </c>
      <c r="F138" s="20">
        <v>42565.582685185182</v>
      </c>
      <c r="G138" s="20"/>
      <c r="H138" s="20"/>
      <c r="I138">
        <v>138</v>
      </c>
    </row>
    <row r="139" spans="1:9" ht="25.5" x14ac:dyDescent="0.2">
      <c r="A139" s="2" t="s">
        <v>259</v>
      </c>
      <c r="B139" s="2" t="s">
        <v>37</v>
      </c>
      <c r="C139" s="20">
        <v>42565.580069444448</v>
      </c>
      <c r="D139" s="2" t="s">
        <v>5</v>
      </c>
      <c r="E139" s="2" t="s">
        <v>69</v>
      </c>
      <c r="F139" s="20">
        <v>42565.589791666665</v>
      </c>
      <c r="G139" s="20"/>
      <c r="H139" s="20"/>
      <c r="I139">
        <v>139</v>
      </c>
    </row>
    <row r="140" spans="1:9" ht="25.5" x14ac:dyDescent="0.2">
      <c r="A140" s="2" t="s">
        <v>259</v>
      </c>
      <c r="B140" s="2" t="s">
        <v>37</v>
      </c>
      <c r="C140" s="20">
        <v>42565.580069444448</v>
      </c>
      <c r="D140" s="2" t="s">
        <v>5</v>
      </c>
      <c r="E140" s="2" t="s">
        <v>39</v>
      </c>
      <c r="F140" s="20">
        <v>42565.618402777778</v>
      </c>
      <c r="G140" s="20"/>
      <c r="H140" s="20"/>
      <c r="I140">
        <v>140</v>
      </c>
    </row>
    <row r="141" spans="1:9" ht="25.5" x14ac:dyDescent="0.2">
      <c r="A141" s="2" t="s">
        <v>259</v>
      </c>
      <c r="B141" s="2" t="s">
        <v>37</v>
      </c>
      <c r="C141" s="20">
        <v>42565.580069444448</v>
      </c>
      <c r="D141" s="2" t="s">
        <v>5</v>
      </c>
      <c r="E141" s="2" t="s">
        <v>135</v>
      </c>
      <c r="F141" s="20">
        <v>42565.62358796296</v>
      </c>
      <c r="G141" s="20"/>
      <c r="H141" s="20"/>
      <c r="I141">
        <v>141</v>
      </c>
    </row>
    <row r="142" spans="1:9" ht="25.5" x14ac:dyDescent="0.2">
      <c r="A142" s="2" t="s">
        <v>258</v>
      </c>
      <c r="B142" s="2" t="s">
        <v>37</v>
      </c>
      <c r="C142" s="20">
        <v>42569.71435185185</v>
      </c>
      <c r="D142" s="2" t="s">
        <v>5</v>
      </c>
      <c r="E142" s="2" t="s">
        <v>40</v>
      </c>
      <c r="F142" s="20">
        <v>42569.714467592596</v>
      </c>
      <c r="G142" s="20"/>
      <c r="H142" s="20"/>
      <c r="I142">
        <v>142</v>
      </c>
    </row>
    <row r="143" spans="1:9" ht="25.5" x14ac:dyDescent="0.2">
      <c r="A143" s="2" t="s">
        <v>258</v>
      </c>
      <c r="B143" s="2" t="s">
        <v>37</v>
      </c>
      <c r="C143" s="20">
        <v>42569.71435185185</v>
      </c>
      <c r="D143" s="2" t="s">
        <v>5</v>
      </c>
      <c r="E143" s="2" t="s">
        <v>69</v>
      </c>
      <c r="F143" s="20">
        <v>42569.71770833333</v>
      </c>
      <c r="G143" s="20"/>
      <c r="H143" s="20"/>
      <c r="I143">
        <v>143</v>
      </c>
    </row>
    <row r="144" spans="1:9" ht="51" x14ac:dyDescent="0.2">
      <c r="A144" s="2" t="s">
        <v>258</v>
      </c>
      <c r="B144" s="2" t="s">
        <v>37</v>
      </c>
      <c r="C144" s="20">
        <v>42569.71435185185</v>
      </c>
      <c r="D144" s="2" t="s">
        <v>6</v>
      </c>
      <c r="E144" s="2" t="s">
        <v>105</v>
      </c>
      <c r="F144" s="20">
        <v>42570.412812499999</v>
      </c>
      <c r="G144" s="20"/>
      <c r="H144" s="20"/>
      <c r="I144">
        <v>144</v>
      </c>
    </row>
    <row r="145" spans="1:9" ht="25.5" x14ac:dyDescent="0.2">
      <c r="A145" s="2" t="s">
        <v>258</v>
      </c>
      <c r="B145" s="2" t="s">
        <v>37</v>
      </c>
      <c r="C145" s="20">
        <v>42569.71435185185</v>
      </c>
      <c r="D145" s="2" t="s">
        <v>5</v>
      </c>
      <c r="E145" s="2" t="s">
        <v>135</v>
      </c>
      <c r="F145" s="20">
        <v>42570.413032407407</v>
      </c>
      <c r="G145" s="20"/>
      <c r="H145" s="20"/>
      <c r="I145">
        <v>145</v>
      </c>
    </row>
    <row r="146" spans="1:9" ht="25.5" x14ac:dyDescent="0.2">
      <c r="A146" s="2" t="s">
        <v>257</v>
      </c>
      <c r="B146" s="2" t="s">
        <v>37</v>
      </c>
      <c r="C146" s="20">
        <v>42576.541655092595</v>
      </c>
      <c r="D146" s="2" t="s">
        <v>5</v>
      </c>
      <c r="E146" s="2" t="s">
        <v>40</v>
      </c>
      <c r="F146" s="20">
        <v>42576.541689814818</v>
      </c>
      <c r="G146" s="20"/>
      <c r="H146" s="20"/>
      <c r="I146">
        <v>146</v>
      </c>
    </row>
    <row r="147" spans="1:9" ht="25.5" x14ac:dyDescent="0.2">
      <c r="A147" s="2" t="s">
        <v>257</v>
      </c>
      <c r="B147" s="2" t="s">
        <v>37</v>
      </c>
      <c r="C147" s="20">
        <v>42576.541655092595</v>
      </c>
      <c r="D147" s="2" t="s">
        <v>5</v>
      </c>
      <c r="E147" s="2" t="s">
        <v>39</v>
      </c>
      <c r="F147" s="20">
        <v>42576.54859953704</v>
      </c>
      <c r="G147" s="20"/>
      <c r="H147" s="20"/>
      <c r="I147">
        <v>147</v>
      </c>
    </row>
    <row r="148" spans="1:9" ht="25.5" x14ac:dyDescent="0.2">
      <c r="A148" s="2" t="s">
        <v>257</v>
      </c>
      <c r="B148" s="2" t="s">
        <v>37</v>
      </c>
      <c r="C148" s="20">
        <v>42576.541655092595</v>
      </c>
      <c r="D148" s="2" t="s">
        <v>5</v>
      </c>
      <c r="E148" s="2" t="s">
        <v>135</v>
      </c>
      <c r="F148" s="20">
        <v>42576.639791666668</v>
      </c>
      <c r="G148" s="20"/>
      <c r="H148" s="20"/>
      <c r="I148">
        <v>148</v>
      </c>
    </row>
    <row r="149" spans="1:9" ht="25.5" x14ac:dyDescent="0.2">
      <c r="A149" s="2" t="s">
        <v>256</v>
      </c>
      <c r="B149" s="2" t="s">
        <v>37</v>
      </c>
      <c r="C149" s="20">
        <v>42583.329872685186</v>
      </c>
      <c r="D149" s="2" t="s">
        <v>5</v>
      </c>
      <c r="E149" s="2" t="s">
        <v>40</v>
      </c>
      <c r="F149" s="20">
        <v>42583.329918981479</v>
      </c>
      <c r="G149" s="20"/>
      <c r="H149" s="20"/>
      <c r="I149">
        <v>149</v>
      </c>
    </row>
    <row r="150" spans="1:9" ht="25.5" x14ac:dyDescent="0.2">
      <c r="A150" s="2" t="s">
        <v>256</v>
      </c>
      <c r="B150" s="2" t="s">
        <v>37</v>
      </c>
      <c r="C150" s="20">
        <v>42583.329872685186</v>
      </c>
      <c r="D150" s="2" t="s">
        <v>5</v>
      </c>
      <c r="E150" s="2" t="s">
        <v>39</v>
      </c>
      <c r="F150" s="20">
        <v>42583.335486111115</v>
      </c>
      <c r="G150" s="20"/>
      <c r="H150" s="20"/>
      <c r="I150">
        <v>150</v>
      </c>
    </row>
    <row r="151" spans="1:9" ht="25.5" x14ac:dyDescent="0.2">
      <c r="A151" s="2" t="s">
        <v>256</v>
      </c>
      <c r="B151" s="2" t="s">
        <v>37</v>
      </c>
      <c r="C151" s="20">
        <v>42583.329872685186</v>
      </c>
      <c r="D151" s="2" t="s">
        <v>5</v>
      </c>
      <c r="E151" s="2" t="s">
        <v>135</v>
      </c>
      <c r="F151" s="20">
        <v>42583.376261574071</v>
      </c>
      <c r="G151" s="20"/>
      <c r="H151" s="20"/>
      <c r="I151">
        <v>151</v>
      </c>
    </row>
    <row r="152" spans="1:9" ht="25.5" x14ac:dyDescent="0.2">
      <c r="A152" s="2" t="s">
        <v>255</v>
      </c>
      <c r="B152" s="2" t="s">
        <v>37</v>
      </c>
      <c r="C152" s="20">
        <v>42583.376886574071</v>
      </c>
      <c r="D152" s="2" t="s">
        <v>5</v>
      </c>
      <c r="E152" s="2" t="s">
        <v>40</v>
      </c>
      <c r="F152" s="20">
        <v>42583.376967592594</v>
      </c>
      <c r="G152" s="20"/>
      <c r="H152" s="20"/>
      <c r="I152">
        <v>152</v>
      </c>
    </row>
    <row r="153" spans="1:9" ht="25.5" x14ac:dyDescent="0.2">
      <c r="A153" s="2" t="s">
        <v>255</v>
      </c>
      <c r="B153" s="2" t="s">
        <v>37</v>
      </c>
      <c r="C153" s="20">
        <v>42583.376886574071</v>
      </c>
      <c r="D153" s="2" t="s">
        <v>5</v>
      </c>
      <c r="E153" s="2" t="s">
        <v>39</v>
      </c>
      <c r="F153" s="20">
        <v>42583.379201388889</v>
      </c>
      <c r="G153" s="20"/>
      <c r="H153" s="20"/>
      <c r="I153">
        <v>153</v>
      </c>
    </row>
    <row r="154" spans="1:9" ht="51" x14ac:dyDescent="0.2">
      <c r="A154" s="2" t="s">
        <v>255</v>
      </c>
      <c r="B154" s="2" t="s">
        <v>37</v>
      </c>
      <c r="C154" s="20">
        <v>42583.376886574071</v>
      </c>
      <c r="D154" s="2" t="s">
        <v>6</v>
      </c>
      <c r="E154" s="2" t="s">
        <v>233</v>
      </c>
      <c r="F154" s="20">
        <v>42583.391099537039</v>
      </c>
      <c r="G154" s="20"/>
      <c r="H154" s="20"/>
      <c r="I154">
        <v>154</v>
      </c>
    </row>
    <row r="155" spans="1:9" ht="25.5" x14ac:dyDescent="0.2">
      <c r="A155" s="2" t="s">
        <v>255</v>
      </c>
      <c r="B155" s="2" t="s">
        <v>37</v>
      </c>
      <c r="C155" s="20">
        <v>42583.376886574071</v>
      </c>
      <c r="D155" s="2" t="s">
        <v>5</v>
      </c>
      <c r="E155" s="2" t="s">
        <v>135</v>
      </c>
      <c r="F155" s="20">
        <v>42584.481805555559</v>
      </c>
      <c r="G155" s="20"/>
      <c r="H155" s="20"/>
      <c r="I155">
        <v>155</v>
      </c>
    </row>
    <row r="156" spans="1:9" ht="25.5" x14ac:dyDescent="0.2">
      <c r="A156" s="2" t="s">
        <v>254</v>
      </c>
      <c r="B156" s="2" t="s">
        <v>37</v>
      </c>
      <c r="C156" s="20">
        <v>42583.381018518521</v>
      </c>
      <c r="D156" s="2" t="s">
        <v>5</v>
      </c>
      <c r="E156" s="2" t="s">
        <v>40</v>
      </c>
      <c r="F156" s="20">
        <v>42583.381076388891</v>
      </c>
      <c r="G156" s="20"/>
      <c r="H156" s="20"/>
      <c r="I156">
        <v>156</v>
      </c>
    </row>
    <row r="157" spans="1:9" ht="25.5" x14ac:dyDescent="0.2">
      <c r="A157" s="2" t="s">
        <v>254</v>
      </c>
      <c r="B157" s="2" t="s">
        <v>37</v>
      </c>
      <c r="C157" s="20">
        <v>42583.381018518521</v>
      </c>
      <c r="D157" s="2" t="s">
        <v>5</v>
      </c>
      <c r="E157" s="2" t="s">
        <v>135</v>
      </c>
      <c r="F157" s="20">
        <v>42583.389351851853</v>
      </c>
      <c r="G157" s="20"/>
      <c r="H157" s="20"/>
      <c r="I157">
        <v>157</v>
      </c>
    </row>
    <row r="158" spans="1:9" ht="25.5" x14ac:dyDescent="0.2">
      <c r="A158" s="2" t="s">
        <v>253</v>
      </c>
      <c r="B158" s="2" t="s">
        <v>37</v>
      </c>
      <c r="C158" s="20">
        <v>42583.383414351854</v>
      </c>
      <c r="D158" s="2" t="s">
        <v>5</v>
      </c>
      <c r="E158" s="2" t="s">
        <v>40</v>
      </c>
      <c r="F158" s="20">
        <v>42583.383460648147</v>
      </c>
      <c r="G158" s="20"/>
      <c r="H158" s="20"/>
      <c r="I158">
        <v>158</v>
      </c>
    </row>
    <row r="159" spans="1:9" ht="25.5" x14ac:dyDescent="0.2">
      <c r="A159" s="2" t="s">
        <v>253</v>
      </c>
      <c r="B159" s="2" t="s">
        <v>37</v>
      </c>
      <c r="C159" s="20">
        <v>42583.383414351854</v>
      </c>
      <c r="D159" s="2" t="s">
        <v>5</v>
      </c>
      <c r="E159" s="2" t="s">
        <v>39</v>
      </c>
      <c r="F159" s="20">
        <v>42583.383935185186</v>
      </c>
      <c r="G159" s="20"/>
      <c r="H159" s="20"/>
      <c r="I159">
        <v>159</v>
      </c>
    </row>
    <row r="160" spans="1:9" ht="51" x14ac:dyDescent="0.2">
      <c r="A160" s="2" t="s">
        <v>253</v>
      </c>
      <c r="B160" s="2" t="s">
        <v>37</v>
      </c>
      <c r="C160" s="20">
        <v>42583.383414351854</v>
      </c>
      <c r="D160" s="2" t="s">
        <v>6</v>
      </c>
      <c r="E160" s="2" t="s">
        <v>233</v>
      </c>
      <c r="F160" s="20">
        <v>42583.391261574077</v>
      </c>
      <c r="G160" s="20"/>
      <c r="H160" s="20"/>
      <c r="I160">
        <v>160</v>
      </c>
    </row>
    <row r="161" spans="1:9" ht="25.5" x14ac:dyDescent="0.2">
      <c r="A161" s="2" t="s">
        <v>253</v>
      </c>
      <c r="B161" s="2" t="s">
        <v>37</v>
      </c>
      <c r="C161" s="20">
        <v>42583.383414351854</v>
      </c>
      <c r="D161" s="2" t="s">
        <v>5</v>
      </c>
      <c r="E161" s="2" t="s">
        <v>135</v>
      </c>
      <c r="F161" s="20">
        <v>42584.482303240744</v>
      </c>
      <c r="G161" s="20"/>
      <c r="H161" s="20"/>
      <c r="I161">
        <v>161</v>
      </c>
    </row>
    <row r="162" spans="1:9" ht="25.5" x14ac:dyDescent="0.2">
      <c r="A162" s="2" t="s">
        <v>252</v>
      </c>
      <c r="B162" s="2" t="s">
        <v>37</v>
      </c>
      <c r="C162" s="20">
        <v>42583.449861111112</v>
      </c>
      <c r="D162" s="2" t="s">
        <v>5</v>
      </c>
      <c r="E162" s="2" t="s">
        <v>40</v>
      </c>
      <c r="F162" s="20">
        <v>42583.449976851851</v>
      </c>
      <c r="G162" s="20"/>
      <c r="H162" s="20"/>
      <c r="I162">
        <v>162</v>
      </c>
    </row>
    <row r="163" spans="1:9" ht="25.5" x14ac:dyDescent="0.2">
      <c r="A163" s="2" t="s">
        <v>252</v>
      </c>
      <c r="B163" s="2" t="s">
        <v>37</v>
      </c>
      <c r="C163" s="20">
        <v>42583.449861111112</v>
      </c>
      <c r="D163" s="2" t="s">
        <v>5</v>
      </c>
      <c r="E163" s="2" t="s">
        <v>39</v>
      </c>
      <c r="F163" s="20">
        <v>42583.451979166668</v>
      </c>
      <c r="G163" s="20"/>
      <c r="H163" s="20"/>
      <c r="I163">
        <v>163</v>
      </c>
    </row>
    <row r="164" spans="1:9" ht="25.5" x14ac:dyDescent="0.2">
      <c r="A164" s="2" t="s">
        <v>252</v>
      </c>
      <c r="B164" s="2" t="s">
        <v>37</v>
      </c>
      <c r="C164" s="20">
        <v>42583.449861111112</v>
      </c>
      <c r="D164" s="2" t="s">
        <v>5</v>
      </c>
      <c r="E164" s="2" t="s">
        <v>69</v>
      </c>
      <c r="F164" s="20">
        <v>42583.455925925926</v>
      </c>
      <c r="G164" s="20"/>
      <c r="H164" s="20"/>
      <c r="I164">
        <v>164</v>
      </c>
    </row>
    <row r="165" spans="1:9" ht="51" x14ac:dyDescent="0.2">
      <c r="A165" s="2" t="s">
        <v>252</v>
      </c>
      <c r="B165" s="2" t="s">
        <v>37</v>
      </c>
      <c r="C165" s="20">
        <v>42583.449861111112</v>
      </c>
      <c r="D165" s="2" t="s">
        <v>6</v>
      </c>
      <c r="E165" s="2" t="s">
        <v>105</v>
      </c>
      <c r="F165" s="20">
        <v>42583.463333333333</v>
      </c>
      <c r="G165" s="20"/>
      <c r="H165" s="20"/>
      <c r="I165">
        <v>165</v>
      </c>
    </row>
    <row r="166" spans="1:9" ht="25.5" x14ac:dyDescent="0.2">
      <c r="A166" s="2" t="s">
        <v>252</v>
      </c>
      <c r="B166" s="2" t="s">
        <v>37</v>
      </c>
      <c r="C166" s="20">
        <v>42583.449861111112</v>
      </c>
      <c r="D166" s="2" t="s">
        <v>5</v>
      </c>
      <c r="E166" s="2" t="s">
        <v>39</v>
      </c>
      <c r="F166" s="20">
        <v>42583.463553240741</v>
      </c>
      <c r="G166" s="20"/>
      <c r="H166" s="20"/>
      <c r="I166">
        <v>166</v>
      </c>
    </row>
    <row r="167" spans="1:9" ht="25.5" x14ac:dyDescent="0.2">
      <c r="A167" s="2" t="s">
        <v>252</v>
      </c>
      <c r="B167" s="2" t="s">
        <v>37</v>
      </c>
      <c r="C167" s="20">
        <v>42583.449861111112</v>
      </c>
      <c r="D167" s="2" t="s">
        <v>5</v>
      </c>
      <c r="E167" s="2" t="s">
        <v>135</v>
      </c>
      <c r="F167" s="20">
        <v>42583.526122685187</v>
      </c>
      <c r="G167" s="20"/>
      <c r="H167" s="20"/>
      <c r="I167">
        <v>167</v>
      </c>
    </row>
    <row r="168" spans="1:9" ht="25.5" x14ac:dyDescent="0.2">
      <c r="A168" s="2" t="s">
        <v>251</v>
      </c>
      <c r="B168" s="2" t="s">
        <v>37</v>
      </c>
      <c r="C168" s="20">
        <v>42583.472858796296</v>
      </c>
      <c r="D168" s="2" t="s">
        <v>5</v>
      </c>
      <c r="E168" s="2" t="s">
        <v>40</v>
      </c>
      <c r="F168" s="20">
        <v>42583.472928240742</v>
      </c>
      <c r="G168" s="20"/>
      <c r="H168" s="20"/>
      <c r="I168">
        <v>168</v>
      </c>
    </row>
    <row r="169" spans="1:9" ht="25.5" x14ac:dyDescent="0.2">
      <c r="A169" s="2" t="s">
        <v>251</v>
      </c>
      <c r="B169" s="2" t="s">
        <v>37</v>
      </c>
      <c r="C169" s="20">
        <v>42583.472858796296</v>
      </c>
      <c r="D169" s="2" t="s">
        <v>5</v>
      </c>
      <c r="E169" s="2" t="s">
        <v>39</v>
      </c>
      <c r="F169" s="20">
        <v>42583.47892361111</v>
      </c>
      <c r="G169" s="20"/>
      <c r="H169" s="20"/>
      <c r="I169">
        <v>169</v>
      </c>
    </row>
    <row r="170" spans="1:9" ht="63.75" x14ac:dyDescent="0.2">
      <c r="A170" s="2" t="s">
        <v>251</v>
      </c>
      <c r="B170" s="2" t="s">
        <v>37</v>
      </c>
      <c r="C170" s="20">
        <v>42583.472858796296</v>
      </c>
      <c r="D170" s="2" t="s">
        <v>6</v>
      </c>
      <c r="E170" s="2" t="s">
        <v>96</v>
      </c>
      <c r="F170" s="20">
        <v>42583.47892361111</v>
      </c>
      <c r="G170" s="20"/>
      <c r="H170" s="20"/>
      <c r="I170">
        <v>170</v>
      </c>
    </row>
    <row r="171" spans="1:9" ht="25.5" x14ac:dyDescent="0.2">
      <c r="A171" s="2" t="s">
        <v>251</v>
      </c>
      <c r="B171" s="2" t="s">
        <v>37</v>
      </c>
      <c r="C171" s="20">
        <v>42583.472858796296</v>
      </c>
      <c r="D171" s="2" t="s">
        <v>5</v>
      </c>
      <c r="E171" s="2" t="s">
        <v>135</v>
      </c>
      <c r="F171" s="20">
        <v>42583.530833333331</v>
      </c>
      <c r="G171" s="20"/>
      <c r="H171" s="20"/>
      <c r="I171">
        <v>171</v>
      </c>
    </row>
    <row r="172" spans="1:9" ht="25.5" x14ac:dyDescent="0.2">
      <c r="A172" s="2" t="s">
        <v>250</v>
      </c>
      <c r="B172" s="2" t="s">
        <v>37</v>
      </c>
      <c r="C172" s="20">
        <v>42583.572743055556</v>
      </c>
      <c r="D172" s="2" t="s">
        <v>5</v>
      </c>
      <c r="E172" s="2" t="s">
        <v>40</v>
      </c>
      <c r="F172" s="20">
        <v>42583.572766203702</v>
      </c>
      <c r="G172" s="20"/>
      <c r="H172" s="20"/>
      <c r="I172">
        <v>172</v>
      </c>
    </row>
    <row r="173" spans="1:9" ht="25.5" x14ac:dyDescent="0.2">
      <c r="A173" s="2" t="s">
        <v>250</v>
      </c>
      <c r="B173" s="2" t="s">
        <v>37</v>
      </c>
      <c r="C173" s="20">
        <v>42583.572743055556</v>
      </c>
      <c r="D173" s="2" t="s">
        <v>5</v>
      </c>
      <c r="E173" s="2" t="s">
        <v>39</v>
      </c>
      <c r="F173" s="20">
        <v>42583.573449074072</v>
      </c>
      <c r="G173" s="20"/>
      <c r="H173" s="20"/>
      <c r="I173">
        <v>173</v>
      </c>
    </row>
    <row r="174" spans="1:9" ht="25.5" x14ac:dyDescent="0.2">
      <c r="A174" s="2" t="s">
        <v>250</v>
      </c>
      <c r="B174" s="2" t="s">
        <v>37</v>
      </c>
      <c r="C174" s="20">
        <v>42583.572743055556</v>
      </c>
      <c r="D174" s="2" t="s">
        <v>5</v>
      </c>
      <c r="E174" s="2" t="s">
        <v>135</v>
      </c>
      <c r="F174" s="20">
        <v>42583.643020833333</v>
      </c>
      <c r="G174" s="20"/>
      <c r="H174" s="20"/>
      <c r="I174">
        <v>174</v>
      </c>
    </row>
    <row r="175" spans="1:9" ht="25.5" x14ac:dyDescent="0.2">
      <c r="A175" s="2" t="s">
        <v>249</v>
      </c>
      <c r="B175" s="2" t="s">
        <v>37</v>
      </c>
      <c r="C175" s="20">
        <v>42586.659710648149</v>
      </c>
      <c r="D175" s="2" t="s">
        <v>5</v>
      </c>
      <c r="E175" s="2" t="s">
        <v>135</v>
      </c>
      <c r="F175" s="20">
        <v>42586.660428240742</v>
      </c>
      <c r="G175" s="20"/>
      <c r="H175" s="20"/>
      <c r="I175">
        <v>175</v>
      </c>
    </row>
    <row r="176" spans="1:9" ht="25.5" x14ac:dyDescent="0.2">
      <c r="A176" s="2" t="s">
        <v>248</v>
      </c>
      <c r="B176" s="2" t="s">
        <v>37</v>
      </c>
      <c r="C176" s="20">
        <v>42591.545046296298</v>
      </c>
      <c r="D176" s="2" t="s">
        <v>5</v>
      </c>
      <c r="E176" s="2" t="s">
        <v>40</v>
      </c>
      <c r="F176" s="20">
        <v>42591.545115740744</v>
      </c>
      <c r="G176" s="20"/>
      <c r="H176" s="20"/>
      <c r="I176">
        <v>176</v>
      </c>
    </row>
    <row r="177" spans="1:9" ht="25.5" x14ac:dyDescent="0.2">
      <c r="A177" s="2" t="s">
        <v>248</v>
      </c>
      <c r="B177" s="2" t="s">
        <v>37</v>
      </c>
      <c r="C177" s="20">
        <v>42591.545046296298</v>
      </c>
      <c r="D177" s="2" t="s">
        <v>5</v>
      </c>
      <c r="E177" s="2" t="s">
        <v>69</v>
      </c>
      <c r="F177" s="20">
        <v>42591.552673611113</v>
      </c>
      <c r="G177" s="20"/>
      <c r="H177" s="20"/>
      <c r="I177">
        <v>177</v>
      </c>
    </row>
    <row r="178" spans="1:9" ht="51" x14ac:dyDescent="0.2">
      <c r="A178" s="2" t="s">
        <v>248</v>
      </c>
      <c r="B178" s="2" t="s">
        <v>37</v>
      </c>
      <c r="C178" s="20">
        <v>42591.545046296298</v>
      </c>
      <c r="D178" s="2" t="s">
        <v>6</v>
      </c>
      <c r="E178" s="2" t="s">
        <v>105</v>
      </c>
      <c r="F178" s="20">
        <v>42591.57508101852</v>
      </c>
      <c r="G178" s="20"/>
      <c r="H178" s="20"/>
      <c r="I178">
        <v>178</v>
      </c>
    </row>
    <row r="179" spans="1:9" ht="25.5" x14ac:dyDescent="0.2">
      <c r="A179" s="2" t="s">
        <v>248</v>
      </c>
      <c r="B179" s="2" t="s">
        <v>37</v>
      </c>
      <c r="C179" s="20">
        <v>42591.545046296298</v>
      </c>
      <c r="D179" s="2" t="s">
        <v>5</v>
      </c>
      <c r="E179" s="2" t="s">
        <v>135</v>
      </c>
      <c r="F179" s="20">
        <v>42591.575486111113</v>
      </c>
      <c r="G179" s="20"/>
      <c r="H179" s="20"/>
      <c r="I179">
        <v>179</v>
      </c>
    </row>
    <row r="180" spans="1:9" ht="25.5" x14ac:dyDescent="0.2">
      <c r="A180" s="2" t="s">
        <v>247</v>
      </c>
      <c r="B180" s="2" t="s">
        <v>37</v>
      </c>
      <c r="C180" s="20">
        <v>42597.466435185182</v>
      </c>
      <c r="D180" s="2" t="s">
        <v>5</v>
      </c>
      <c r="E180" s="2" t="s">
        <v>40</v>
      </c>
      <c r="F180" s="20">
        <v>42597.466550925928</v>
      </c>
      <c r="G180" s="20"/>
      <c r="H180" s="20"/>
      <c r="I180">
        <v>180</v>
      </c>
    </row>
    <row r="181" spans="1:9" ht="25.5" x14ac:dyDescent="0.2">
      <c r="A181" s="2" t="s">
        <v>247</v>
      </c>
      <c r="B181" s="2" t="s">
        <v>37</v>
      </c>
      <c r="C181" s="20">
        <v>42597.466435185182</v>
      </c>
      <c r="D181" s="2" t="s">
        <v>5</v>
      </c>
      <c r="E181" s="2" t="s">
        <v>39</v>
      </c>
      <c r="F181" s="20">
        <v>42597.466782407406</v>
      </c>
      <c r="G181" s="20"/>
      <c r="H181" s="20"/>
      <c r="I181">
        <v>181</v>
      </c>
    </row>
    <row r="182" spans="1:9" ht="25.5" x14ac:dyDescent="0.2">
      <c r="A182" s="2" t="s">
        <v>247</v>
      </c>
      <c r="B182" s="2" t="s">
        <v>37</v>
      </c>
      <c r="C182" s="20">
        <v>42597.466435185182</v>
      </c>
      <c r="D182" s="2" t="s">
        <v>5</v>
      </c>
      <c r="E182" s="2" t="s">
        <v>71</v>
      </c>
      <c r="F182" s="20">
        <v>42597.609386574077</v>
      </c>
      <c r="G182" s="20"/>
      <c r="H182" s="20"/>
      <c r="I182">
        <v>182</v>
      </c>
    </row>
    <row r="183" spans="1:9" ht="63.75" x14ac:dyDescent="0.2">
      <c r="A183" s="2" t="s">
        <v>247</v>
      </c>
      <c r="B183" s="2" t="s">
        <v>37</v>
      </c>
      <c r="C183" s="20">
        <v>42597.466435185182</v>
      </c>
      <c r="D183" s="2" t="s">
        <v>6</v>
      </c>
      <c r="E183" s="2" t="s">
        <v>102</v>
      </c>
      <c r="F183" s="20">
        <v>42599.632604166669</v>
      </c>
      <c r="G183" s="20"/>
      <c r="H183" s="20"/>
      <c r="I183">
        <v>183</v>
      </c>
    </row>
    <row r="184" spans="1:9" ht="51" x14ac:dyDescent="0.2">
      <c r="A184" s="2" t="s">
        <v>247</v>
      </c>
      <c r="B184" s="2" t="s">
        <v>37</v>
      </c>
      <c r="C184" s="20">
        <v>42597.466435185182</v>
      </c>
      <c r="D184" s="2" t="s">
        <v>6</v>
      </c>
      <c r="E184" s="2" t="s">
        <v>193</v>
      </c>
      <c r="F184" s="20">
        <v>42601.503263888888</v>
      </c>
      <c r="G184" s="20"/>
      <c r="H184" s="20"/>
      <c r="I184">
        <v>184</v>
      </c>
    </row>
    <row r="185" spans="1:9" ht="25.5" x14ac:dyDescent="0.2">
      <c r="A185" s="2" t="s">
        <v>246</v>
      </c>
      <c r="B185" s="2" t="s">
        <v>37</v>
      </c>
      <c r="C185" s="20">
        <v>42604.441493055558</v>
      </c>
      <c r="D185" s="2" t="s">
        <v>5</v>
      </c>
      <c r="E185" s="2" t="s">
        <v>40</v>
      </c>
      <c r="F185" s="20">
        <v>42604.441527777781</v>
      </c>
      <c r="G185" s="20"/>
      <c r="H185" s="20"/>
      <c r="I185">
        <v>185</v>
      </c>
    </row>
    <row r="186" spans="1:9" ht="51" x14ac:dyDescent="0.2">
      <c r="A186" s="2" t="s">
        <v>246</v>
      </c>
      <c r="B186" s="2" t="s">
        <v>37</v>
      </c>
      <c r="C186" s="20">
        <v>42604.441493055558</v>
      </c>
      <c r="D186" s="2" t="s">
        <v>5</v>
      </c>
      <c r="E186" s="2" t="s">
        <v>139</v>
      </c>
      <c r="F186" s="20">
        <v>42604.477418981478</v>
      </c>
      <c r="G186" s="20"/>
      <c r="H186" s="20"/>
      <c r="I186">
        <v>186</v>
      </c>
    </row>
    <row r="187" spans="1:9" ht="25.5" x14ac:dyDescent="0.2">
      <c r="A187" s="2" t="s">
        <v>246</v>
      </c>
      <c r="B187" s="2" t="s">
        <v>37</v>
      </c>
      <c r="C187" s="20">
        <v>42604.441493055558</v>
      </c>
      <c r="D187" s="2" t="s">
        <v>5</v>
      </c>
      <c r="E187" s="2" t="s">
        <v>39</v>
      </c>
      <c r="F187" s="20">
        <v>42604.478587962964</v>
      </c>
      <c r="G187" s="20"/>
      <c r="H187" s="20"/>
      <c r="I187">
        <v>187</v>
      </c>
    </row>
    <row r="188" spans="1:9" ht="63.75" x14ac:dyDescent="0.2">
      <c r="A188" s="2" t="s">
        <v>246</v>
      </c>
      <c r="B188" s="2" t="s">
        <v>37</v>
      </c>
      <c r="C188" s="20">
        <v>42604.441493055558</v>
      </c>
      <c r="D188" s="2" t="s">
        <v>6</v>
      </c>
      <c r="E188" s="2" t="s">
        <v>96</v>
      </c>
      <c r="F188" s="20">
        <v>42604.488900462966</v>
      </c>
      <c r="G188" s="20"/>
      <c r="H188" s="20"/>
      <c r="I188">
        <v>188</v>
      </c>
    </row>
    <row r="189" spans="1:9" ht="25.5" x14ac:dyDescent="0.2">
      <c r="A189" s="2" t="s">
        <v>246</v>
      </c>
      <c r="B189" s="2" t="s">
        <v>37</v>
      </c>
      <c r="C189" s="20">
        <v>42604.441493055558</v>
      </c>
      <c r="D189" s="2" t="s">
        <v>5</v>
      </c>
      <c r="E189" s="2" t="s">
        <v>71</v>
      </c>
      <c r="F189" s="20">
        <v>42611.713287037041</v>
      </c>
      <c r="G189" s="20"/>
      <c r="H189" s="20"/>
      <c r="I189">
        <v>189</v>
      </c>
    </row>
    <row r="190" spans="1:9" ht="51" x14ac:dyDescent="0.2">
      <c r="A190" s="2" t="s">
        <v>246</v>
      </c>
      <c r="B190" s="2" t="s">
        <v>37</v>
      </c>
      <c r="C190" s="20">
        <v>42604.441493055558</v>
      </c>
      <c r="D190" s="2" t="s">
        <v>6</v>
      </c>
      <c r="E190" s="2" t="s">
        <v>193</v>
      </c>
      <c r="F190" s="20">
        <v>42612.433657407404</v>
      </c>
      <c r="G190" s="20"/>
      <c r="H190" s="20"/>
      <c r="I190">
        <v>190</v>
      </c>
    </row>
    <row r="191" spans="1:9" ht="25.5" x14ac:dyDescent="0.2">
      <c r="A191" s="2" t="s">
        <v>245</v>
      </c>
      <c r="B191" s="2" t="s">
        <v>37</v>
      </c>
      <c r="C191" s="20">
        <v>42611.483993055554</v>
      </c>
      <c r="D191" s="2" t="s">
        <v>5</v>
      </c>
      <c r="E191" s="2" t="s">
        <v>40</v>
      </c>
      <c r="F191" s="20">
        <v>42611.48400462963</v>
      </c>
      <c r="G191" s="20"/>
      <c r="H191" s="20"/>
      <c r="I191">
        <v>191</v>
      </c>
    </row>
    <row r="192" spans="1:9" ht="25.5" x14ac:dyDescent="0.2">
      <c r="A192" s="2" t="s">
        <v>245</v>
      </c>
      <c r="B192" s="2" t="s">
        <v>37</v>
      </c>
      <c r="C192" s="20">
        <v>42611.483993055554</v>
      </c>
      <c r="D192" s="2" t="s">
        <v>5</v>
      </c>
      <c r="E192" s="2" t="s">
        <v>71</v>
      </c>
      <c r="F192" s="20">
        <v>42611.49590277778</v>
      </c>
      <c r="G192" s="20"/>
      <c r="H192" s="20"/>
      <c r="I192">
        <v>192</v>
      </c>
    </row>
    <row r="193" spans="1:9" ht="63.75" x14ac:dyDescent="0.2">
      <c r="A193" s="2" t="s">
        <v>245</v>
      </c>
      <c r="B193" s="2" t="s">
        <v>37</v>
      </c>
      <c r="C193" s="20">
        <v>42611.483993055554</v>
      </c>
      <c r="D193" s="2" t="s">
        <v>6</v>
      </c>
      <c r="E193" s="2" t="s">
        <v>102</v>
      </c>
      <c r="F193" s="20">
        <v>42615.419398148151</v>
      </c>
      <c r="G193" s="20"/>
      <c r="H193" s="20"/>
      <c r="I193">
        <v>193</v>
      </c>
    </row>
    <row r="194" spans="1:9" ht="51" x14ac:dyDescent="0.2">
      <c r="A194" s="2" t="s">
        <v>245</v>
      </c>
      <c r="B194" s="2" t="s">
        <v>37</v>
      </c>
      <c r="C194" s="20">
        <v>42611.483993055554</v>
      </c>
      <c r="D194" s="2" t="s">
        <v>6</v>
      </c>
      <c r="E194" s="2" t="s">
        <v>193</v>
      </c>
      <c r="F194" s="20">
        <v>42615.487407407411</v>
      </c>
      <c r="G194" s="20"/>
      <c r="H194" s="20"/>
      <c r="I194">
        <v>194</v>
      </c>
    </row>
    <row r="195" spans="1:9" ht="25.5" x14ac:dyDescent="0.2">
      <c r="A195" s="2" t="s">
        <v>244</v>
      </c>
      <c r="B195" s="2" t="s">
        <v>37</v>
      </c>
      <c r="C195" s="20">
        <v>42612.690405092595</v>
      </c>
      <c r="D195" s="2" t="s">
        <v>5</v>
      </c>
      <c r="E195" s="2" t="s">
        <v>40</v>
      </c>
      <c r="F195" s="20">
        <v>42612.690486111111</v>
      </c>
      <c r="G195" s="20"/>
      <c r="H195" s="20"/>
      <c r="I195">
        <v>195</v>
      </c>
    </row>
    <row r="196" spans="1:9" ht="25.5" x14ac:dyDescent="0.2">
      <c r="A196" s="2" t="s">
        <v>244</v>
      </c>
      <c r="B196" s="2" t="s">
        <v>37</v>
      </c>
      <c r="C196" s="20">
        <v>42612.690405092595</v>
      </c>
      <c r="D196" s="2" t="s">
        <v>5</v>
      </c>
      <c r="E196" s="2" t="s">
        <v>135</v>
      </c>
      <c r="F196" s="20">
        <v>42612.696701388886</v>
      </c>
      <c r="G196" s="20"/>
      <c r="H196" s="20"/>
      <c r="I196">
        <v>196</v>
      </c>
    </row>
    <row r="197" spans="1:9" ht="25.5" x14ac:dyDescent="0.2">
      <c r="A197" s="2" t="s">
        <v>243</v>
      </c>
      <c r="B197" s="2" t="s">
        <v>37</v>
      </c>
      <c r="C197" s="20">
        <v>42626.470451388886</v>
      </c>
      <c r="D197" s="2" t="s">
        <v>5</v>
      </c>
      <c r="E197" s="2" t="s">
        <v>40</v>
      </c>
      <c r="F197" s="20">
        <v>42626.470497685186</v>
      </c>
      <c r="G197" s="20"/>
      <c r="H197" s="20"/>
      <c r="I197">
        <v>197</v>
      </c>
    </row>
    <row r="198" spans="1:9" ht="25.5" x14ac:dyDescent="0.2">
      <c r="A198" s="2" t="s">
        <v>243</v>
      </c>
      <c r="B198" s="2" t="s">
        <v>37</v>
      </c>
      <c r="C198" s="20">
        <v>42626.470451388886</v>
      </c>
      <c r="D198" s="2" t="s">
        <v>5</v>
      </c>
      <c r="E198" s="2" t="s">
        <v>39</v>
      </c>
      <c r="F198" s="20">
        <v>42626.472754629627</v>
      </c>
      <c r="G198" s="20"/>
      <c r="H198" s="20"/>
      <c r="I198">
        <v>198</v>
      </c>
    </row>
    <row r="199" spans="1:9" ht="25.5" x14ac:dyDescent="0.2">
      <c r="A199" s="2" t="s">
        <v>243</v>
      </c>
      <c r="B199" s="2" t="s">
        <v>37</v>
      </c>
      <c r="C199" s="20">
        <v>42626.470451388886</v>
      </c>
      <c r="D199" s="2" t="s">
        <v>5</v>
      </c>
      <c r="E199" s="2" t="s">
        <v>135</v>
      </c>
      <c r="F199" s="20">
        <v>42626.477696759262</v>
      </c>
      <c r="G199" s="20"/>
      <c r="H199" s="20"/>
      <c r="I199">
        <v>199</v>
      </c>
    </row>
    <row r="200" spans="1:9" ht="25.5" x14ac:dyDescent="0.2">
      <c r="A200" s="2" t="s">
        <v>243</v>
      </c>
      <c r="B200" s="2" t="s">
        <v>37</v>
      </c>
      <c r="C200" s="20">
        <v>42626.470451388886</v>
      </c>
      <c r="D200" s="2" t="s">
        <v>5</v>
      </c>
      <c r="E200" s="2" t="s">
        <v>39</v>
      </c>
      <c r="F200" s="20">
        <v>42626.638009259259</v>
      </c>
      <c r="G200" s="20"/>
      <c r="H200" s="20"/>
      <c r="I200">
        <v>200</v>
      </c>
    </row>
    <row r="201" spans="1:9" ht="63.75" x14ac:dyDescent="0.2">
      <c r="A201" s="2" t="s">
        <v>243</v>
      </c>
      <c r="B201" s="2" t="s">
        <v>37</v>
      </c>
      <c r="C201" s="20">
        <v>42626.470451388886</v>
      </c>
      <c r="D201" s="2" t="s">
        <v>6</v>
      </c>
      <c r="E201" s="2" t="s">
        <v>36</v>
      </c>
      <c r="F201" s="20">
        <v>42626.695057870369</v>
      </c>
      <c r="G201" s="20"/>
      <c r="H201" s="20"/>
      <c r="I201">
        <v>201</v>
      </c>
    </row>
    <row r="202" spans="1:9" ht="63.75" x14ac:dyDescent="0.2">
      <c r="A202" s="2" t="s">
        <v>243</v>
      </c>
      <c r="B202" s="2" t="s">
        <v>37</v>
      </c>
      <c r="C202" s="20">
        <v>42626.470451388886</v>
      </c>
      <c r="D202" s="2" t="s">
        <v>6</v>
      </c>
      <c r="E202" s="2" t="s">
        <v>96</v>
      </c>
      <c r="F202" s="20">
        <v>42626.699502314812</v>
      </c>
      <c r="G202" s="20"/>
      <c r="H202" s="20"/>
      <c r="I202">
        <v>202</v>
      </c>
    </row>
    <row r="203" spans="1:9" ht="25.5" x14ac:dyDescent="0.2">
      <c r="A203" s="2" t="s">
        <v>243</v>
      </c>
      <c r="B203" s="2" t="s">
        <v>37</v>
      </c>
      <c r="C203" s="20">
        <v>42626.470451388886</v>
      </c>
      <c r="D203" s="2" t="s">
        <v>5</v>
      </c>
      <c r="E203" s="2" t="s">
        <v>135</v>
      </c>
      <c r="F203" s="20">
        <v>42626.700324074074</v>
      </c>
      <c r="G203" s="20"/>
      <c r="H203" s="20"/>
      <c r="I203">
        <v>203</v>
      </c>
    </row>
    <row r="204" spans="1:9" ht="25.5" x14ac:dyDescent="0.2">
      <c r="A204" s="2" t="s">
        <v>242</v>
      </c>
      <c r="B204" s="2" t="s">
        <v>37</v>
      </c>
      <c r="C204" s="20">
        <v>42626.684942129628</v>
      </c>
      <c r="D204" s="2" t="s">
        <v>5</v>
      </c>
      <c r="E204" s="2" t="s">
        <v>40</v>
      </c>
      <c r="F204" s="20">
        <v>42626.684988425928</v>
      </c>
      <c r="G204" s="20"/>
      <c r="H204" s="20"/>
      <c r="I204">
        <v>204</v>
      </c>
    </row>
    <row r="205" spans="1:9" ht="25.5" x14ac:dyDescent="0.2">
      <c r="A205" s="2" t="s">
        <v>242</v>
      </c>
      <c r="B205" s="2" t="s">
        <v>37</v>
      </c>
      <c r="C205" s="20">
        <v>42626.684942129628</v>
      </c>
      <c r="D205" s="2" t="s">
        <v>5</v>
      </c>
      <c r="E205" s="2" t="s">
        <v>39</v>
      </c>
      <c r="F205" s="20">
        <v>42626.685370370367</v>
      </c>
      <c r="G205" s="20"/>
      <c r="H205" s="20"/>
      <c r="I205">
        <v>205</v>
      </c>
    </row>
    <row r="206" spans="1:9" ht="63.75" x14ac:dyDescent="0.2">
      <c r="A206" s="2" t="s">
        <v>242</v>
      </c>
      <c r="B206" s="2" t="s">
        <v>37</v>
      </c>
      <c r="C206" s="20">
        <v>42626.684942129628</v>
      </c>
      <c r="D206" s="2" t="s">
        <v>6</v>
      </c>
      <c r="E206" s="2" t="s">
        <v>36</v>
      </c>
      <c r="F206" s="20">
        <v>42626.703472222223</v>
      </c>
      <c r="G206" s="20"/>
      <c r="H206" s="20"/>
      <c r="I206">
        <v>206</v>
      </c>
    </row>
    <row r="207" spans="1:9" ht="25.5" x14ac:dyDescent="0.2">
      <c r="A207" s="2" t="s">
        <v>242</v>
      </c>
      <c r="B207" s="2" t="s">
        <v>37</v>
      </c>
      <c r="C207" s="20">
        <v>42626.684942129628</v>
      </c>
      <c r="D207" s="2" t="s">
        <v>5</v>
      </c>
      <c r="E207" s="2" t="s">
        <v>71</v>
      </c>
      <c r="F207" s="20">
        <v>42626.712280092594</v>
      </c>
      <c r="G207" s="20"/>
      <c r="H207" s="20"/>
      <c r="I207">
        <v>207</v>
      </c>
    </row>
    <row r="208" spans="1:9" ht="63.75" x14ac:dyDescent="0.2">
      <c r="A208" s="2" t="s">
        <v>242</v>
      </c>
      <c r="B208" s="2" t="s">
        <v>37</v>
      </c>
      <c r="C208" s="20">
        <v>42626.684942129628</v>
      </c>
      <c r="D208" s="2" t="s">
        <v>6</v>
      </c>
      <c r="E208" s="2" t="s">
        <v>102</v>
      </c>
      <c r="F208" s="20">
        <v>42627.538159722222</v>
      </c>
      <c r="G208" s="20"/>
      <c r="H208" s="20"/>
      <c r="I208">
        <v>208</v>
      </c>
    </row>
    <row r="209" spans="1:9" ht="51" x14ac:dyDescent="0.2">
      <c r="A209" s="2" t="s">
        <v>242</v>
      </c>
      <c r="B209" s="2" t="s">
        <v>37</v>
      </c>
      <c r="C209" s="20">
        <v>42626.684942129628</v>
      </c>
      <c r="D209" s="2" t="s">
        <v>6</v>
      </c>
      <c r="E209" s="2" t="s">
        <v>193</v>
      </c>
      <c r="F209" s="20">
        <v>42629.523032407407</v>
      </c>
      <c r="G209" s="20"/>
      <c r="H209" s="20"/>
      <c r="I209">
        <v>209</v>
      </c>
    </row>
    <row r="210" spans="1:9" ht="25.5" x14ac:dyDescent="0.2">
      <c r="A210" s="2" t="s">
        <v>241</v>
      </c>
      <c r="B210" s="2" t="s">
        <v>37</v>
      </c>
      <c r="C210" s="20">
        <v>42626.718402777777</v>
      </c>
      <c r="D210" s="2" t="s">
        <v>5</v>
      </c>
      <c r="E210" s="2" t="s">
        <v>40</v>
      </c>
      <c r="F210" s="20">
        <v>42626.718460648146</v>
      </c>
      <c r="G210" s="20"/>
      <c r="H210" s="20"/>
      <c r="I210">
        <v>210</v>
      </c>
    </row>
    <row r="211" spans="1:9" ht="25.5" x14ac:dyDescent="0.2">
      <c r="A211" s="2" t="s">
        <v>241</v>
      </c>
      <c r="B211" s="2" t="s">
        <v>37</v>
      </c>
      <c r="C211" s="20">
        <v>42626.718402777777</v>
      </c>
      <c r="D211" s="2" t="s">
        <v>5</v>
      </c>
      <c r="E211" s="2" t="s">
        <v>135</v>
      </c>
      <c r="F211" s="20">
        <v>42626.720902777779</v>
      </c>
      <c r="G211" s="20"/>
      <c r="H211" s="20"/>
      <c r="I211">
        <v>211</v>
      </c>
    </row>
    <row r="212" spans="1:9" ht="25.5" x14ac:dyDescent="0.2">
      <c r="A212" s="2" t="s">
        <v>240</v>
      </c>
      <c r="B212" s="2" t="s">
        <v>37</v>
      </c>
      <c r="C212" s="20">
        <v>42628.532071759262</v>
      </c>
      <c r="D212" s="2" t="s">
        <v>5</v>
      </c>
      <c r="E212" s="2" t="s">
        <v>40</v>
      </c>
      <c r="F212" s="20">
        <v>42628.532129629632</v>
      </c>
      <c r="G212" s="20">
        <v>42657.424456018518</v>
      </c>
      <c r="H212" s="20"/>
      <c r="I212">
        <v>212</v>
      </c>
    </row>
    <row r="213" spans="1:9" ht="25.5" x14ac:dyDescent="0.2">
      <c r="A213" s="2" t="s">
        <v>240</v>
      </c>
      <c r="B213" s="2" t="s">
        <v>37</v>
      </c>
      <c r="C213" s="20">
        <v>42628.532071759262</v>
      </c>
      <c r="D213" s="2" t="s">
        <v>5</v>
      </c>
      <c r="E213" s="2" t="s">
        <v>39</v>
      </c>
      <c r="F213" s="20">
        <v>42628.532604166663</v>
      </c>
      <c r="G213" s="20">
        <v>42657.424456018518</v>
      </c>
      <c r="H213" s="20"/>
      <c r="I213">
        <v>213</v>
      </c>
    </row>
    <row r="214" spans="1:9" ht="63.75" x14ac:dyDescent="0.2">
      <c r="A214" s="2" t="s">
        <v>240</v>
      </c>
      <c r="B214" s="2" t="s">
        <v>37</v>
      </c>
      <c r="C214" s="20">
        <v>42628.532071759262</v>
      </c>
      <c r="D214" s="2" t="s">
        <v>6</v>
      </c>
      <c r="E214" s="2" t="s">
        <v>41</v>
      </c>
      <c r="F214" s="20">
        <v>42628.573182870372</v>
      </c>
      <c r="G214" s="20">
        <v>42657.424456018518</v>
      </c>
      <c r="H214" s="20"/>
      <c r="I214">
        <v>214</v>
      </c>
    </row>
    <row r="215" spans="1:9" ht="25.5" x14ac:dyDescent="0.2">
      <c r="A215" s="2" t="s">
        <v>240</v>
      </c>
      <c r="B215" s="2" t="s">
        <v>37</v>
      </c>
      <c r="C215" s="20">
        <v>42628.532071759262</v>
      </c>
      <c r="D215" s="2" t="s">
        <v>5</v>
      </c>
      <c r="E215" s="2" t="s">
        <v>71</v>
      </c>
      <c r="F215" s="20">
        <v>42647.491400462961</v>
      </c>
      <c r="G215" s="20">
        <v>42657.424456018518</v>
      </c>
      <c r="H215" s="20"/>
      <c r="I215">
        <v>215</v>
      </c>
    </row>
    <row r="216" spans="1:9" ht="63.75" x14ac:dyDescent="0.2">
      <c r="A216" s="2" t="s">
        <v>240</v>
      </c>
      <c r="B216" s="2" t="s">
        <v>37</v>
      </c>
      <c r="C216" s="20">
        <v>42628.532071759262</v>
      </c>
      <c r="D216" s="2" t="s">
        <v>6</v>
      </c>
      <c r="E216" s="2" t="s">
        <v>102</v>
      </c>
      <c r="F216" s="20">
        <v>42649.607499999998</v>
      </c>
      <c r="G216" s="20">
        <v>42657.424456018518</v>
      </c>
      <c r="H216" s="20"/>
      <c r="I216">
        <v>216</v>
      </c>
    </row>
    <row r="217" spans="1:9" ht="25.5" x14ac:dyDescent="0.2">
      <c r="A217" s="2" t="s">
        <v>239</v>
      </c>
      <c r="B217" s="2" t="s">
        <v>37</v>
      </c>
      <c r="C217" s="20">
        <v>42633.420949074076</v>
      </c>
      <c r="D217" s="2" t="s">
        <v>5</v>
      </c>
      <c r="E217" s="2" t="s">
        <v>40</v>
      </c>
      <c r="F217" s="20">
        <v>42633.421018518522</v>
      </c>
      <c r="G217" s="20">
        <v>42639.616944444446</v>
      </c>
      <c r="H217" s="20"/>
      <c r="I217">
        <v>217</v>
      </c>
    </row>
    <row r="218" spans="1:9" ht="25.5" x14ac:dyDescent="0.2">
      <c r="A218" s="2" t="s">
        <v>239</v>
      </c>
      <c r="B218" s="2" t="s">
        <v>37</v>
      </c>
      <c r="C218" s="20">
        <v>42633.420949074076</v>
      </c>
      <c r="D218" s="2" t="s">
        <v>5</v>
      </c>
      <c r="E218" s="2" t="s">
        <v>69</v>
      </c>
      <c r="F218" s="20">
        <v>42633.437152777777</v>
      </c>
      <c r="G218" s="20">
        <v>42639.616944444446</v>
      </c>
      <c r="H218" s="20"/>
      <c r="I218">
        <v>218</v>
      </c>
    </row>
    <row r="219" spans="1:9" ht="51" x14ac:dyDescent="0.2">
      <c r="A219" s="2" t="s">
        <v>239</v>
      </c>
      <c r="B219" s="2" t="s">
        <v>37</v>
      </c>
      <c r="C219" s="20">
        <v>42633.420949074076</v>
      </c>
      <c r="D219" s="2" t="s">
        <v>6</v>
      </c>
      <c r="E219" s="2" t="s">
        <v>105</v>
      </c>
      <c r="F219" s="20">
        <v>42633.44568287037</v>
      </c>
      <c r="G219" s="20">
        <v>42639.616944444446</v>
      </c>
      <c r="H219" s="20"/>
      <c r="I219">
        <v>219</v>
      </c>
    </row>
    <row r="220" spans="1:9" ht="25.5" x14ac:dyDescent="0.2">
      <c r="A220" s="2" t="s">
        <v>239</v>
      </c>
      <c r="B220" s="2" t="s">
        <v>37</v>
      </c>
      <c r="C220" s="20">
        <v>42633.420949074076</v>
      </c>
      <c r="D220" s="2" t="s">
        <v>5</v>
      </c>
      <c r="E220" s="2" t="s">
        <v>144</v>
      </c>
      <c r="F220" s="20">
        <v>42640.409513888888</v>
      </c>
      <c r="G220" s="20">
        <v>42639.616944444446</v>
      </c>
      <c r="H220" s="20"/>
      <c r="I220">
        <v>220</v>
      </c>
    </row>
    <row r="221" spans="1:9" ht="63.75" x14ac:dyDescent="0.2">
      <c r="A221" s="2" t="s">
        <v>239</v>
      </c>
      <c r="B221" s="2" t="s">
        <v>37</v>
      </c>
      <c r="C221" s="20">
        <v>42633.420949074076</v>
      </c>
      <c r="D221" s="2" t="s">
        <v>6</v>
      </c>
      <c r="E221" s="2" t="s">
        <v>142</v>
      </c>
      <c r="F221" s="20">
        <v>42640.409513888888</v>
      </c>
      <c r="G221" s="20">
        <v>42639.616944444446</v>
      </c>
      <c r="H221" s="20"/>
      <c r="I221">
        <v>221</v>
      </c>
    </row>
    <row r="222" spans="1:9" ht="25.5" x14ac:dyDescent="0.2">
      <c r="A222" s="2" t="s">
        <v>238</v>
      </c>
      <c r="B222" s="2" t="s">
        <v>37</v>
      </c>
      <c r="C222" s="20">
        <v>42647.40079861111</v>
      </c>
      <c r="D222" s="2" t="s">
        <v>5</v>
      </c>
      <c r="E222" s="2" t="s">
        <v>40</v>
      </c>
      <c r="F222" s="20">
        <v>42647.40084490741</v>
      </c>
      <c r="G222" s="20"/>
      <c r="H222" s="20"/>
      <c r="I222">
        <v>222</v>
      </c>
    </row>
    <row r="223" spans="1:9" ht="25.5" x14ac:dyDescent="0.2">
      <c r="A223" s="2" t="s">
        <v>238</v>
      </c>
      <c r="B223" s="2" t="s">
        <v>37</v>
      </c>
      <c r="C223" s="20">
        <v>42647.40079861111</v>
      </c>
      <c r="D223" s="2" t="s">
        <v>5</v>
      </c>
      <c r="E223" s="2" t="s">
        <v>39</v>
      </c>
      <c r="F223" s="20">
        <v>42647.404351851852</v>
      </c>
      <c r="G223" s="20"/>
      <c r="H223" s="20"/>
      <c r="I223">
        <v>223</v>
      </c>
    </row>
    <row r="224" spans="1:9" ht="25.5" x14ac:dyDescent="0.2">
      <c r="A224" s="2" t="s">
        <v>238</v>
      </c>
      <c r="B224" s="2" t="s">
        <v>37</v>
      </c>
      <c r="C224" s="20">
        <v>42647.40079861111</v>
      </c>
      <c r="D224" s="2" t="s">
        <v>5</v>
      </c>
      <c r="E224" s="2" t="s">
        <v>235</v>
      </c>
      <c r="F224" s="20">
        <v>42647.408101851855</v>
      </c>
      <c r="G224" s="20"/>
      <c r="H224" s="20"/>
      <c r="I224">
        <v>224</v>
      </c>
    </row>
    <row r="225" spans="1:9" ht="25.5" x14ac:dyDescent="0.2">
      <c r="A225" s="2" t="s">
        <v>237</v>
      </c>
      <c r="B225" s="2" t="s">
        <v>37</v>
      </c>
      <c r="C225" s="20">
        <v>42648.397152777776</v>
      </c>
      <c r="D225" s="2" t="s">
        <v>5</v>
      </c>
      <c r="E225" s="2" t="s">
        <v>40</v>
      </c>
      <c r="F225" s="20">
        <v>42648.397199074076</v>
      </c>
      <c r="G225" s="20"/>
      <c r="H225" s="20"/>
      <c r="I225">
        <v>225</v>
      </c>
    </row>
    <row r="226" spans="1:9" ht="25.5" x14ac:dyDescent="0.2">
      <c r="A226" s="2" t="s">
        <v>237</v>
      </c>
      <c r="B226" s="2" t="s">
        <v>37</v>
      </c>
      <c r="C226" s="20">
        <v>42648.397152777776</v>
      </c>
      <c r="D226" s="2" t="s">
        <v>5</v>
      </c>
      <c r="E226" s="2" t="s">
        <v>39</v>
      </c>
      <c r="F226" s="20">
        <v>42648.407268518517</v>
      </c>
      <c r="G226" s="20"/>
      <c r="H226" s="20"/>
      <c r="I226">
        <v>226</v>
      </c>
    </row>
    <row r="227" spans="1:9" ht="63.75" x14ac:dyDescent="0.2">
      <c r="A227" s="2" t="s">
        <v>237</v>
      </c>
      <c r="B227" s="2" t="s">
        <v>37</v>
      </c>
      <c r="C227" s="20">
        <v>42648.397152777776</v>
      </c>
      <c r="D227" s="2" t="s">
        <v>6</v>
      </c>
      <c r="E227" s="2" t="s">
        <v>41</v>
      </c>
      <c r="F227" s="20">
        <v>42648.482754629629</v>
      </c>
      <c r="G227" s="20"/>
      <c r="H227" s="20"/>
      <c r="I227">
        <v>227</v>
      </c>
    </row>
    <row r="228" spans="1:9" ht="25.5" x14ac:dyDescent="0.2">
      <c r="A228" s="2" t="s">
        <v>237</v>
      </c>
      <c r="B228" s="2" t="s">
        <v>37</v>
      </c>
      <c r="C228" s="20">
        <v>42648.397152777776</v>
      </c>
      <c r="D228" s="2" t="s">
        <v>5</v>
      </c>
      <c r="E228" s="2" t="s">
        <v>135</v>
      </c>
      <c r="F228" s="20">
        <v>42648.571666666663</v>
      </c>
      <c r="G228" s="20"/>
      <c r="H228" s="20"/>
      <c r="I228">
        <v>228</v>
      </c>
    </row>
    <row r="229" spans="1:9" ht="25.5" x14ac:dyDescent="0.2">
      <c r="A229" s="2" t="s">
        <v>236</v>
      </c>
      <c r="B229" s="2" t="s">
        <v>37</v>
      </c>
      <c r="C229" s="20">
        <v>42654.376192129632</v>
      </c>
      <c r="D229" s="2" t="s">
        <v>5</v>
      </c>
      <c r="E229" s="2" t="s">
        <v>40</v>
      </c>
      <c r="F229" s="20">
        <v>42654.376226851855</v>
      </c>
      <c r="G229" s="20"/>
      <c r="H229" s="20"/>
      <c r="I229">
        <v>229</v>
      </c>
    </row>
    <row r="230" spans="1:9" ht="25.5" x14ac:dyDescent="0.2">
      <c r="A230" s="2" t="s">
        <v>236</v>
      </c>
      <c r="B230" s="2" t="s">
        <v>37</v>
      </c>
      <c r="C230" s="20">
        <v>42654.376192129632</v>
      </c>
      <c r="D230" s="2" t="s">
        <v>5</v>
      </c>
      <c r="E230" s="2" t="s">
        <v>39</v>
      </c>
      <c r="F230" s="20">
        <v>42654.390011574076</v>
      </c>
      <c r="G230" s="20"/>
      <c r="H230" s="20"/>
      <c r="I230">
        <v>230</v>
      </c>
    </row>
    <row r="231" spans="1:9" ht="25.5" x14ac:dyDescent="0.2">
      <c r="A231" s="2" t="s">
        <v>236</v>
      </c>
      <c r="B231" s="2" t="s">
        <v>37</v>
      </c>
      <c r="C231" s="20">
        <v>42654.376192129632</v>
      </c>
      <c r="D231" s="2" t="s">
        <v>5</v>
      </c>
      <c r="E231" s="2" t="s">
        <v>235</v>
      </c>
      <c r="F231" s="20">
        <v>42654.392361111109</v>
      </c>
      <c r="G231" s="20"/>
      <c r="H231" s="20"/>
      <c r="I231">
        <v>231</v>
      </c>
    </row>
    <row r="232" spans="1:9" ht="25.5" x14ac:dyDescent="0.2">
      <c r="A232" s="2" t="s">
        <v>234</v>
      </c>
      <c r="B232" s="2" t="s">
        <v>37</v>
      </c>
      <c r="C232" s="20">
        <v>42656.595532407409</v>
      </c>
      <c r="D232" s="2" t="s">
        <v>5</v>
      </c>
      <c r="E232" s="2" t="s">
        <v>40</v>
      </c>
      <c r="F232" s="20">
        <v>42656.595555555556</v>
      </c>
      <c r="G232" s="20"/>
      <c r="H232" s="20"/>
      <c r="I232">
        <v>232</v>
      </c>
    </row>
    <row r="233" spans="1:9" ht="25.5" x14ac:dyDescent="0.2">
      <c r="A233" s="2" t="s">
        <v>234</v>
      </c>
      <c r="B233" s="2" t="s">
        <v>37</v>
      </c>
      <c r="C233" s="20">
        <v>42656.595532407409</v>
      </c>
      <c r="D233" s="2" t="s">
        <v>5</v>
      </c>
      <c r="E233" s="2" t="s">
        <v>39</v>
      </c>
      <c r="F233" s="20">
        <v>42656.602187500001</v>
      </c>
      <c r="G233" s="20"/>
      <c r="H233" s="20"/>
      <c r="I233">
        <v>233</v>
      </c>
    </row>
    <row r="234" spans="1:9" ht="38.25" x14ac:dyDescent="0.2">
      <c r="A234" s="2" t="s">
        <v>234</v>
      </c>
      <c r="B234" s="2" t="s">
        <v>37</v>
      </c>
      <c r="C234" s="20">
        <v>42656.595532407409</v>
      </c>
      <c r="D234" s="2" t="s">
        <v>5</v>
      </c>
      <c r="E234" s="2" t="s">
        <v>176</v>
      </c>
      <c r="F234" s="20">
        <v>42656.607824074075</v>
      </c>
      <c r="G234" s="20"/>
      <c r="H234" s="20"/>
      <c r="I234">
        <v>234</v>
      </c>
    </row>
    <row r="235" spans="1:9" ht="63.75" x14ac:dyDescent="0.2">
      <c r="A235" s="2" t="s">
        <v>234</v>
      </c>
      <c r="B235" s="2" t="s">
        <v>37</v>
      </c>
      <c r="C235" s="20">
        <v>42656.595532407409</v>
      </c>
      <c r="D235" s="2" t="s">
        <v>6</v>
      </c>
      <c r="E235" s="2" t="s">
        <v>47</v>
      </c>
      <c r="F235" s="20">
        <v>42656.607824074075</v>
      </c>
      <c r="G235" s="20"/>
      <c r="H235" s="20"/>
      <c r="I235">
        <v>235</v>
      </c>
    </row>
    <row r="236" spans="1:9" ht="25.5" x14ac:dyDescent="0.2">
      <c r="A236" s="2" t="s">
        <v>234</v>
      </c>
      <c r="B236" s="2" t="s">
        <v>37</v>
      </c>
      <c r="C236" s="20">
        <v>42656.595532407409</v>
      </c>
      <c r="D236" s="2" t="s">
        <v>5</v>
      </c>
      <c r="E236" s="2" t="s">
        <v>135</v>
      </c>
      <c r="F236" s="20">
        <v>42656.623333333337</v>
      </c>
      <c r="G236" s="20"/>
      <c r="H236" s="20"/>
      <c r="I236">
        <v>236</v>
      </c>
    </row>
    <row r="237" spans="1:9" ht="25.5" x14ac:dyDescent="0.2">
      <c r="A237" s="2" t="s">
        <v>232</v>
      </c>
      <c r="B237" s="2" t="s">
        <v>37</v>
      </c>
      <c r="C237" s="20">
        <v>42657.32508101852</v>
      </c>
      <c r="D237" s="2" t="s">
        <v>5</v>
      </c>
      <c r="E237" s="2" t="s">
        <v>40</v>
      </c>
      <c r="F237" s="20">
        <v>42657.325185185182</v>
      </c>
      <c r="G237" s="20"/>
      <c r="H237" s="20"/>
      <c r="I237">
        <v>237</v>
      </c>
    </row>
    <row r="238" spans="1:9" ht="25.5" x14ac:dyDescent="0.2">
      <c r="A238" s="2" t="s">
        <v>232</v>
      </c>
      <c r="B238" s="2" t="s">
        <v>37</v>
      </c>
      <c r="C238" s="20">
        <v>42657.32508101852</v>
      </c>
      <c r="D238" s="2" t="s">
        <v>5</v>
      </c>
      <c r="E238" s="2" t="s">
        <v>39</v>
      </c>
      <c r="F238" s="20">
        <v>42657.326921296299</v>
      </c>
      <c r="G238" s="20"/>
      <c r="H238" s="20"/>
      <c r="I238">
        <v>238</v>
      </c>
    </row>
    <row r="239" spans="1:9" ht="51" x14ac:dyDescent="0.2">
      <c r="A239" s="2" t="s">
        <v>232</v>
      </c>
      <c r="B239" s="2" t="s">
        <v>37</v>
      </c>
      <c r="C239" s="20">
        <v>42657.32508101852</v>
      </c>
      <c r="D239" s="2" t="s">
        <v>6</v>
      </c>
      <c r="E239" s="2" t="s">
        <v>233</v>
      </c>
      <c r="F239" s="20">
        <v>42657.383935185186</v>
      </c>
      <c r="G239" s="20"/>
      <c r="H239" s="20"/>
      <c r="I239">
        <v>239</v>
      </c>
    </row>
    <row r="240" spans="1:9" ht="25.5" x14ac:dyDescent="0.2">
      <c r="A240" s="2" t="s">
        <v>232</v>
      </c>
      <c r="B240" s="2" t="s">
        <v>37</v>
      </c>
      <c r="C240" s="20">
        <v>42657.32508101852</v>
      </c>
      <c r="D240" s="2" t="s">
        <v>5</v>
      </c>
      <c r="E240" s="2" t="s">
        <v>135</v>
      </c>
      <c r="F240" s="20">
        <v>42657.582962962966</v>
      </c>
      <c r="G240" s="20"/>
      <c r="H240" s="20"/>
      <c r="I240">
        <v>240</v>
      </c>
    </row>
    <row r="241" spans="1:9" ht="25.5" x14ac:dyDescent="0.2">
      <c r="A241" s="2" t="s">
        <v>231</v>
      </c>
      <c r="B241" s="2" t="s">
        <v>37</v>
      </c>
      <c r="C241" s="20">
        <v>42661.598252314812</v>
      </c>
      <c r="D241" s="2" t="s">
        <v>5</v>
      </c>
      <c r="E241" s="2" t="s">
        <v>40</v>
      </c>
      <c r="F241" s="20">
        <v>42661.598298611112</v>
      </c>
      <c r="G241" s="20"/>
      <c r="H241" s="20"/>
      <c r="I241">
        <v>241</v>
      </c>
    </row>
    <row r="242" spans="1:9" ht="25.5" x14ac:dyDescent="0.2">
      <c r="A242" s="2" t="s">
        <v>231</v>
      </c>
      <c r="B242" s="2" t="s">
        <v>37</v>
      </c>
      <c r="C242" s="20">
        <v>42661.598252314812</v>
      </c>
      <c r="D242" s="2" t="s">
        <v>5</v>
      </c>
      <c r="E242" s="2" t="s">
        <v>39</v>
      </c>
      <c r="F242" s="20">
        <v>42661.600416666668</v>
      </c>
      <c r="G242" s="20"/>
      <c r="H242" s="20"/>
      <c r="I242">
        <v>242</v>
      </c>
    </row>
    <row r="243" spans="1:9" ht="63.75" x14ac:dyDescent="0.2">
      <c r="A243" s="2" t="s">
        <v>231</v>
      </c>
      <c r="B243" s="2" t="s">
        <v>37</v>
      </c>
      <c r="C243" s="20">
        <v>42661.598252314812</v>
      </c>
      <c r="D243" s="2" t="s">
        <v>6</v>
      </c>
      <c r="E243" s="2" t="s">
        <v>36</v>
      </c>
      <c r="F243" s="20">
        <v>42661.72552083333</v>
      </c>
      <c r="G243" s="20"/>
      <c r="H243" s="20"/>
      <c r="I243">
        <v>243</v>
      </c>
    </row>
    <row r="244" spans="1:9" ht="25.5" x14ac:dyDescent="0.2">
      <c r="A244" s="2" t="s">
        <v>231</v>
      </c>
      <c r="B244" s="2" t="s">
        <v>37</v>
      </c>
      <c r="C244" s="20">
        <v>42661.598252314812</v>
      </c>
      <c r="D244" s="2" t="s">
        <v>5</v>
      </c>
      <c r="E244" s="2" t="s">
        <v>71</v>
      </c>
      <c r="F244" s="20">
        <v>42661.735034722224</v>
      </c>
      <c r="G244" s="20"/>
      <c r="H244" s="20"/>
      <c r="I244">
        <v>244</v>
      </c>
    </row>
    <row r="245" spans="1:9" ht="63.75" x14ac:dyDescent="0.2">
      <c r="A245" s="2" t="s">
        <v>231</v>
      </c>
      <c r="B245" s="2" t="s">
        <v>37</v>
      </c>
      <c r="C245" s="20">
        <v>42661.598252314812</v>
      </c>
      <c r="D245" s="2" t="s">
        <v>6</v>
      </c>
      <c r="E245" s="2" t="s">
        <v>102</v>
      </c>
      <c r="F245" s="20">
        <v>42663.452303240738</v>
      </c>
      <c r="G245" s="20"/>
      <c r="H245" s="20"/>
      <c r="I245">
        <v>245</v>
      </c>
    </row>
    <row r="246" spans="1:9" ht="25.5" x14ac:dyDescent="0.2">
      <c r="A246" s="2" t="s">
        <v>230</v>
      </c>
      <c r="B246" s="2" t="s">
        <v>37</v>
      </c>
      <c r="C246" s="20">
        <v>42663.434999999998</v>
      </c>
      <c r="D246" s="2" t="s">
        <v>5</v>
      </c>
      <c r="E246" s="2" t="s">
        <v>40</v>
      </c>
      <c r="F246" s="20">
        <v>42663.435046296298</v>
      </c>
      <c r="G246" s="20"/>
      <c r="H246" s="20"/>
      <c r="I246">
        <v>246</v>
      </c>
    </row>
    <row r="247" spans="1:9" ht="25.5" x14ac:dyDescent="0.2">
      <c r="A247" s="2" t="s">
        <v>230</v>
      </c>
      <c r="B247" s="2" t="s">
        <v>37</v>
      </c>
      <c r="C247" s="20">
        <v>42663.434999999998</v>
      </c>
      <c r="D247" s="2" t="s">
        <v>5</v>
      </c>
      <c r="E247" s="2" t="s">
        <v>69</v>
      </c>
      <c r="F247" s="20">
        <v>42663.439710648148</v>
      </c>
      <c r="G247" s="20"/>
      <c r="H247" s="20"/>
      <c r="I247">
        <v>247</v>
      </c>
    </row>
    <row r="248" spans="1:9" ht="63.75" x14ac:dyDescent="0.2">
      <c r="A248" s="2" t="s">
        <v>230</v>
      </c>
      <c r="B248" s="2" t="s">
        <v>37</v>
      </c>
      <c r="C248" s="20">
        <v>42663.434999999998</v>
      </c>
      <c r="D248" s="2" t="s">
        <v>6</v>
      </c>
      <c r="E248" s="2" t="s">
        <v>67</v>
      </c>
      <c r="F248" s="20">
        <v>42663.51871527778</v>
      </c>
      <c r="G248" s="20"/>
      <c r="H248" s="20"/>
      <c r="I248">
        <v>248</v>
      </c>
    </row>
    <row r="249" spans="1:9" ht="25.5" x14ac:dyDescent="0.2">
      <c r="A249" s="2" t="s">
        <v>230</v>
      </c>
      <c r="B249" s="2" t="s">
        <v>37</v>
      </c>
      <c r="C249" s="20">
        <v>42663.434999999998</v>
      </c>
      <c r="D249" s="2" t="s">
        <v>5</v>
      </c>
      <c r="E249" s="2" t="s">
        <v>135</v>
      </c>
      <c r="F249" s="20">
        <v>42663.523912037039</v>
      </c>
      <c r="G249" s="20"/>
      <c r="H249" s="20"/>
      <c r="I249">
        <v>249</v>
      </c>
    </row>
    <row r="250" spans="1:9" ht="25.5" x14ac:dyDescent="0.2">
      <c r="A250" s="2" t="s">
        <v>229</v>
      </c>
      <c r="B250" s="2" t="s">
        <v>83</v>
      </c>
      <c r="C250" s="20">
        <v>42667.518877314818</v>
      </c>
      <c r="D250" s="2" t="s">
        <v>5</v>
      </c>
      <c r="E250" s="2" t="s">
        <v>40</v>
      </c>
      <c r="F250" s="20">
        <v>42667.518888888888</v>
      </c>
      <c r="G250" s="20"/>
      <c r="H250" s="20"/>
      <c r="I250">
        <v>250</v>
      </c>
    </row>
    <row r="251" spans="1:9" ht="25.5" x14ac:dyDescent="0.2">
      <c r="A251" s="2" t="s">
        <v>229</v>
      </c>
      <c r="B251" s="2" t="s">
        <v>83</v>
      </c>
      <c r="C251" s="20">
        <v>42667.518877314818</v>
      </c>
      <c r="D251" s="2" t="s">
        <v>5</v>
      </c>
      <c r="E251" s="2" t="s">
        <v>39</v>
      </c>
      <c r="F251" s="20">
        <v>42667.519571759258</v>
      </c>
      <c r="G251" s="20"/>
      <c r="H251" s="20"/>
      <c r="I251">
        <v>251</v>
      </c>
    </row>
    <row r="252" spans="1:9" ht="25.5" x14ac:dyDescent="0.2">
      <c r="A252" s="2" t="s">
        <v>229</v>
      </c>
      <c r="B252" s="2" t="s">
        <v>83</v>
      </c>
      <c r="C252" s="20">
        <v>42667.518877314818</v>
      </c>
      <c r="D252" s="2" t="s">
        <v>5</v>
      </c>
      <c r="E252" s="2" t="s">
        <v>135</v>
      </c>
      <c r="F252" s="20">
        <v>42667.533009259256</v>
      </c>
      <c r="G252" s="20"/>
      <c r="H252" s="20"/>
      <c r="I252">
        <v>252</v>
      </c>
    </row>
    <row r="253" spans="1:9" ht="25.5" x14ac:dyDescent="0.2">
      <c r="A253" s="2" t="s">
        <v>228</v>
      </c>
      <c r="B253" s="2" t="s">
        <v>37</v>
      </c>
      <c r="C253" s="20">
        <v>42667.591215277775</v>
      </c>
      <c r="D253" s="2" t="s">
        <v>5</v>
      </c>
      <c r="E253" s="2" t="s">
        <v>40</v>
      </c>
      <c r="F253" s="20">
        <v>42667.591238425928</v>
      </c>
      <c r="G253" s="20"/>
      <c r="H253" s="20"/>
      <c r="I253">
        <v>253</v>
      </c>
    </row>
    <row r="254" spans="1:9" ht="25.5" x14ac:dyDescent="0.2">
      <c r="A254" s="2" t="s">
        <v>228</v>
      </c>
      <c r="B254" s="2" t="s">
        <v>37</v>
      </c>
      <c r="C254" s="20">
        <v>42667.591215277775</v>
      </c>
      <c r="D254" s="2" t="s">
        <v>5</v>
      </c>
      <c r="E254" s="2" t="s">
        <v>39</v>
      </c>
      <c r="F254" s="20">
        <v>42667.591435185182</v>
      </c>
      <c r="G254" s="20"/>
      <c r="H254" s="20"/>
      <c r="I254">
        <v>254</v>
      </c>
    </row>
    <row r="255" spans="1:9" ht="25.5" x14ac:dyDescent="0.2">
      <c r="A255" s="2" t="s">
        <v>228</v>
      </c>
      <c r="B255" s="2" t="s">
        <v>37</v>
      </c>
      <c r="C255" s="20">
        <v>42667.591215277775</v>
      </c>
      <c r="D255" s="2" t="s">
        <v>5</v>
      </c>
      <c r="E255" s="2" t="s">
        <v>69</v>
      </c>
      <c r="F255" s="20">
        <v>42667.608993055554</v>
      </c>
      <c r="G255" s="20"/>
      <c r="H255" s="20"/>
      <c r="I255">
        <v>255</v>
      </c>
    </row>
    <row r="256" spans="1:9" ht="51" x14ac:dyDescent="0.2">
      <c r="A256" s="2" t="s">
        <v>228</v>
      </c>
      <c r="B256" s="2" t="s">
        <v>37</v>
      </c>
      <c r="C256" s="20">
        <v>42667.591215277775</v>
      </c>
      <c r="D256" s="2" t="s">
        <v>6</v>
      </c>
      <c r="E256" s="2" t="s">
        <v>105</v>
      </c>
      <c r="F256" s="20">
        <v>42667.649409722224</v>
      </c>
      <c r="G256" s="20"/>
      <c r="H256" s="20"/>
      <c r="I256">
        <v>256</v>
      </c>
    </row>
    <row r="257" spans="1:9" ht="25.5" x14ac:dyDescent="0.2">
      <c r="A257" s="2" t="s">
        <v>228</v>
      </c>
      <c r="B257" s="2" t="s">
        <v>37</v>
      </c>
      <c r="C257" s="20">
        <v>42667.591215277775</v>
      </c>
      <c r="D257" s="2" t="s">
        <v>5</v>
      </c>
      <c r="E257" s="2" t="s">
        <v>135</v>
      </c>
      <c r="F257" s="20">
        <v>42667.649675925924</v>
      </c>
      <c r="G257" s="20"/>
      <c r="H257" s="20"/>
      <c r="I257">
        <v>257</v>
      </c>
    </row>
    <row r="258" spans="1:9" ht="25.5" x14ac:dyDescent="0.2">
      <c r="A258" s="2" t="s">
        <v>227</v>
      </c>
      <c r="B258" s="2" t="s">
        <v>37</v>
      </c>
      <c r="C258" s="20">
        <v>42669.54042824074</v>
      </c>
      <c r="D258" s="2" t="s">
        <v>5</v>
      </c>
      <c r="E258" s="2" t="s">
        <v>40</v>
      </c>
      <c r="F258" s="20">
        <v>42669.540486111109</v>
      </c>
      <c r="G258" s="20"/>
      <c r="H258" s="20"/>
      <c r="I258">
        <v>258</v>
      </c>
    </row>
    <row r="259" spans="1:9" ht="25.5" x14ac:dyDescent="0.2">
      <c r="A259" s="2" t="s">
        <v>227</v>
      </c>
      <c r="B259" s="2" t="s">
        <v>37</v>
      </c>
      <c r="C259" s="20">
        <v>42669.54042824074</v>
      </c>
      <c r="D259" s="2" t="s">
        <v>5</v>
      </c>
      <c r="E259" s="2" t="s">
        <v>69</v>
      </c>
      <c r="F259" s="20">
        <v>42669.541192129633</v>
      </c>
      <c r="G259" s="20"/>
      <c r="H259" s="20"/>
      <c r="I259">
        <v>259</v>
      </c>
    </row>
    <row r="260" spans="1:9" ht="63.75" x14ac:dyDescent="0.2">
      <c r="A260" s="2" t="s">
        <v>227</v>
      </c>
      <c r="B260" s="2" t="s">
        <v>37</v>
      </c>
      <c r="C260" s="20">
        <v>42669.54042824074</v>
      </c>
      <c r="D260" s="2" t="s">
        <v>6</v>
      </c>
      <c r="E260" s="2" t="s">
        <v>145</v>
      </c>
      <c r="F260" s="20">
        <v>42669.570972222224</v>
      </c>
      <c r="G260" s="20"/>
      <c r="H260" s="20"/>
      <c r="I260">
        <v>260</v>
      </c>
    </row>
    <row r="261" spans="1:9" ht="25.5" x14ac:dyDescent="0.2">
      <c r="A261" s="2" t="s">
        <v>227</v>
      </c>
      <c r="B261" s="2" t="s">
        <v>37</v>
      </c>
      <c r="C261" s="20">
        <v>42669.54042824074</v>
      </c>
      <c r="D261" s="2" t="s">
        <v>5</v>
      </c>
      <c r="E261" s="2" t="s">
        <v>39</v>
      </c>
      <c r="F261" s="20">
        <v>42669.572592592594</v>
      </c>
      <c r="G261" s="20"/>
      <c r="H261" s="20"/>
      <c r="I261">
        <v>261</v>
      </c>
    </row>
    <row r="262" spans="1:9" ht="25.5" x14ac:dyDescent="0.2">
      <c r="A262" s="2" t="s">
        <v>227</v>
      </c>
      <c r="B262" s="2" t="s">
        <v>37</v>
      </c>
      <c r="C262" s="20">
        <v>42669.54042824074</v>
      </c>
      <c r="D262" s="2" t="s">
        <v>5</v>
      </c>
      <c r="E262" s="2" t="s">
        <v>135</v>
      </c>
      <c r="F262" s="20">
        <v>42669.594733796293</v>
      </c>
      <c r="G262" s="20"/>
      <c r="H262" s="20"/>
      <c r="I262">
        <v>262</v>
      </c>
    </row>
    <row r="263" spans="1:9" ht="25.5" x14ac:dyDescent="0.2">
      <c r="A263" s="2" t="s">
        <v>226</v>
      </c>
      <c r="B263" s="2" t="s">
        <v>37</v>
      </c>
      <c r="C263" s="20">
        <v>42670.534872685188</v>
      </c>
      <c r="D263" s="2" t="s">
        <v>5</v>
      </c>
      <c r="E263" s="2" t="s">
        <v>40</v>
      </c>
      <c r="F263" s="20">
        <v>42670.534930555557</v>
      </c>
      <c r="G263" s="20"/>
      <c r="H263" s="20"/>
      <c r="I263">
        <v>263</v>
      </c>
    </row>
    <row r="264" spans="1:9" ht="25.5" x14ac:dyDescent="0.2">
      <c r="A264" s="2" t="s">
        <v>226</v>
      </c>
      <c r="B264" s="2" t="s">
        <v>37</v>
      </c>
      <c r="C264" s="20">
        <v>42670.534872685188</v>
      </c>
      <c r="D264" s="2" t="s">
        <v>5</v>
      </c>
      <c r="E264" s="2" t="s">
        <v>39</v>
      </c>
      <c r="F264" s="20">
        <v>42670.537754629629</v>
      </c>
      <c r="G264" s="20"/>
      <c r="H264" s="20"/>
      <c r="I264">
        <v>264</v>
      </c>
    </row>
    <row r="265" spans="1:9" ht="63.75" x14ac:dyDescent="0.2">
      <c r="A265" s="2" t="s">
        <v>226</v>
      </c>
      <c r="B265" s="2" t="s">
        <v>37</v>
      </c>
      <c r="C265" s="20">
        <v>42670.534872685188</v>
      </c>
      <c r="D265" s="2" t="s">
        <v>6</v>
      </c>
      <c r="E265" s="2" t="s">
        <v>96</v>
      </c>
      <c r="F265" s="20">
        <v>42670.545162037037</v>
      </c>
      <c r="G265" s="20"/>
      <c r="H265" s="20"/>
      <c r="I265">
        <v>265</v>
      </c>
    </row>
    <row r="266" spans="1:9" ht="25.5" x14ac:dyDescent="0.2">
      <c r="A266" s="2" t="s">
        <v>226</v>
      </c>
      <c r="B266" s="2" t="s">
        <v>37</v>
      </c>
      <c r="C266" s="20">
        <v>42670.534872685188</v>
      </c>
      <c r="D266" s="2" t="s">
        <v>5</v>
      </c>
      <c r="E266" s="2" t="s">
        <v>135</v>
      </c>
      <c r="F266" s="20">
        <v>42670.582488425927</v>
      </c>
      <c r="G266" s="20"/>
      <c r="H266" s="20"/>
      <c r="I266">
        <v>266</v>
      </c>
    </row>
    <row r="267" spans="1:9" ht="25.5" x14ac:dyDescent="0.2">
      <c r="A267" s="2" t="s">
        <v>225</v>
      </c>
      <c r="B267" s="2" t="s">
        <v>37</v>
      </c>
      <c r="C267" s="20">
        <v>42674.364745370367</v>
      </c>
      <c r="D267" s="2" t="s">
        <v>5</v>
      </c>
      <c r="E267" s="2" t="s">
        <v>40</v>
      </c>
      <c r="F267" s="20">
        <v>42674.364791666667</v>
      </c>
      <c r="G267" s="20"/>
      <c r="H267" s="20"/>
      <c r="I267">
        <v>267</v>
      </c>
    </row>
    <row r="268" spans="1:9" ht="25.5" x14ac:dyDescent="0.2">
      <c r="A268" s="2" t="s">
        <v>225</v>
      </c>
      <c r="B268" s="2" t="s">
        <v>37</v>
      </c>
      <c r="C268" s="20">
        <v>42674.364745370367</v>
      </c>
      <c r="D268" s="2" t="s">
        <v>5</v>
      </c>
      <c r="E268" s="2" t="s">
        <v>69</v>
      </c>
      <c r="F268" s="20">
        <v>42674.368784722225</v>
      </c>
      <c r="G268" s="20"/>
      <c r="H268" s="20"/>
      <c r="I268">
        <v>268</v>
      </c>
    </row>
    <row r="269" spans="1:9" ht="51" x14ac:dyDescent="0.2">
      <c r="A269" s="2" t="s">
        <v>225</v>
      </c>
      <c r="B269" s="2" t="s">
        <v>37</v>
      </c>
      <c r="C269" s="20">
        <v>42674.364745370367</v>
      </c>
      <c r="D269" s="2" t="s">
        <v>6</v>
      </c>
      <c r="E269" s="2" t="s">
        <v>105</v>
      </c>
      <c r="F269" s="20">
        <v>42674.39298611111</v>
      </c>
      <c r="G269" s="20"/>
      <c r="H269" s="20"/>
      <c r="I269">
        <v>269</v>
      </c>
    </row>
    <row r="270" spans="1:9" ht="25.5" x14ac:dyDescent="0.2">
      <c r="A270" s="2" t="s">
        <v>225</v>
      </c>
      <c r="B270" s="2" t="s">
        <v>37</v>
      </c>
      <c r="C270" s="20">
        <v>42674.364745370367</v>
      </c>
      <c r="D270" s="2" t="s">
        <v>5</v>
      </c>
      <c r="E270" s="2" t="s">
        <v>135</v>
      </c>
      <c r="F270" s="20">
        <v>42674.393229166664</v>
      </c>
      <c r="G270" s="20"/>
      <c r="H270" s="20"/>
      <c r="I270">
        <v>270</v>
      </c>
    </row>
    <row r="271" spans="1:9" ht="25.5" x14ac:dyDescent="0.2">
      <c r="A271" s="2" t="s">
        <v>224</v>
      </c>
      <c r="B271" s="2" t="s">
        <v>37</v>
      </c>
      <c r="C271" s="20">
        <v>42676.532268518517</v>
      </c>
      <c r="D271" s="2" t="s">
        <v>5</v>
      </c>
      <c r="E271" s="2" t="s">
        <v>40</v>
      </c>
      <c r="F271" s="20">
        <v>42676.532337962963</v>
      </c>
      <c r="G271" s="20"/>
      <c r="H271" s="20"/>
      <c r="I271">
        <v>271</v>
      </c>
    </row>
    <row r="272" spans="1:9" ht="25.5" x14ac:dyDescent="0.2">
      <c r="A272" s="2" t="s">
        <v>224</v>
      </c>
      <c r="B272" s="2" t="s">
        <v>37</v>
      </c>
      <c r="C272" s="20">
        <v>42676.532268518517</v>
      </c>
      <c r="D272" s="2" t="s">
        <v>5</v>
      </c>
      <c r="E272" s="2" t="s">
        <v>39</v>
      </c>
      <c r="F272" s="20">
        <v>42676.534178240741</v>
      </c>
      <c r="G272" s="20"/>
      <c r="H272" s="20"/>
      <c r="I272">
        <v>272</v>
      </c>
    </row>
    <row r="273" spans="1:9" ht="25.5" x14ac:dyDescent="0.2">
      <c r="A273" s="2" t="s">
        <v>224</v>
      </c>
      <c r="B273" s="2" t="s">
        <v>37</v>
      </c>
      <c r="C273" s="20">
        <v>42676.532268518517</v>
      </c>
      <c r="D273" s="2" t="s">
        <v>5</v>
      </c>
      <c r="E273" s="2" t="s">
        <v>135</v>
      </c>
      <c r="F273" s="20">
        <v>42676.563391203701</v>
      </c>
      <c r="G273" s="20"/>
      <c r="H273" s="20"/>
      <c r="I273">
        <v>273</v>
      </c>
    </row>
    <row r="274" spans="1:9" ht="25.5" x14ac:dyDescent="0.2">
      <c r="A274" s="2" t="s">
        <v>223</v>
      </c>
      <c r="B274" s="2" t="s">
        <v>37</v>
      </c>
      <c r="C274" s="20">
        <v>42691.546643518515</v>
      </c>
      <c r="D274" s="2" t="s">
        <v>5</v>
      </c>
      <c r="E274" s="2" t="s">
        <v>40</v>
      </c>
      <c r="F274" s="20">
        <v>42691.546678240738</v>
      </c>
      <c r="G274" s="20"/>
      <c r="H274" s="20"/>
      <c r="I274">
        <v>274</v>
      </c>
    </row>
    <row r="275" spans="1:9" ht="25.5" x14ac:dyDescent="0.2">
      <c r="A275" s="2" t="s">
        <v>223</v>
      </c>
      <c r="B275" s="2" t="s">
        <v>37</v>
      </c>
      <c r="C275" s="20">
        <v>42691.546643518515</v>
      </c>
      <c r="D275" s="2" t="s">
        <v>5</v>
      </c>
      <c r="E275" s="2" t="s">
        <v>69</v>
      </c>
      <c r="F275" s="20">
        <v>42691.547407407408</v>
      </c>
      <c r="G275" s="20"/>
      <c r="H275" s="20"/>
      <c r="I275">
        <v>275</v>
      </c>
    </row>
    <row r="276" spans="1:9" ht="51" x14ac:dyDescent="0.2">
      <c r="A276" s="2" t="s">
        <v>223</v>
      </c>
      <c r="B276" s="2" t="s">
        <v>37</v>
      </c>
      <c r="C276" s="20">
        <v>42691.546643518515</v>
      </c>
      <c r="D276" s="2" t="s">
        <v>6</v>
      </c>
      <c r="E276" s="2" t="s">
        <v>105</v>
      </c>
      <c r="F276" s="20">
        <v>42691.592604166668</v>
      </c>
      <c r="G276" s="20"/>
      <c r="H276" s="20"/>
      <c r="I276">
        <v>276</v>
      </c>
    </row>
    <row r="277" spans="1:9" ht="25.5" x14ac:dyDescent="0.2">
      <c r="A277" s="2" t="s">
        <v>223</v>
      </c>
      <c r="B277" s="2" t="s">
        <v>37</v>
      </c>
      <c r="C277" s="20">
        <v>42691.546643518515</v>
      </c>
      <c r="D277" s="2" t="s">
        <v>5</v>
      </c>
      <c r="E277" s="2" t="s">
        <v>135</v>
      </c>
      <c r="F277" s="20">
        <v>42691.668576388889</v>
      </c>
      <c r="G277" s="20"/>
      <c r="H277" s="20"/>
      <c r="I277">
        <v>277</v>
      </c>
    </row>
    <row r="278" spans="1:9" ht="25.5" x14ac:dyDescent="0.2">
      <c r="A278" s="2" t="s">
        <v>222</v>
      </c>
      <c r="B278" s="2" t="s">
        <v>37</v>
      </c>
      <c r="C278" s="20">
        <v>42691.614907407406</v>
      </c>
      <c r="D278" s="2" t="s">
        <v>5</v>
      </c>
      <c r="E278" s="2" t="s">
        <v>40</v>
      </c>
      <c r="F278" s="20">
        <v>42691.614976851852</v>
      </c>
      <c r="G278" s="20">
        <v>42720.59646990741</v>
      </c>
      <c r="H278" s="20"/>
      <c r="I278">
        <v>278</v>
      </c>
    </row>
    <row r="279" spans="1:9" ht="25.5" x14ac:dyDescent="0.2">
      <c r="A279" s="2" t="s">
        <v>222</v>
      </c>
      <c r="B279" s="2" t="s">
        <v>37</v>
      </c>
      <c r="C279" s="20">
        <v>42691.614907407406</v>
      </c>
      <c r="D279" s="2" t="s">
        <v>5</v>
      </c>
      <c r="E279" s="2" t="s">
        <v>39</v>
      </c>
      <c r="F279" s="20">
        <v>42691.616597222222</v>
      </c>
      <c r="G279" s="20">
        <v>42720.59646990741</v>
      </c>
      <c r="H279" s="20"/>
      <c r="I279">
        <v>279</v>
      </c>
    </row>
    <row r="280" spans="1:9" ht="25.5" x14ac:dyDescent="0.2">
      <c r="A280" s="2" t="s">
        <v>222</v>
      </c>
      <c r="B280" s="2" t="s">
        <v>37</v>
      </c>
      <c r="C280" s="20">
        <v>42691.614907407406</v>
      </c>
      <c r="D280" s="2" t="s">
        <v>5</v>
      </c>
      <c r="E280" s="2" t="s">
        <v>71</v>
      </c>
      <c r="F280" s="20">
        <v>42691.660266203704</v>
      </c>
      <c r="G280" s="20">
        <v>42720.59646990741</v>
      </c>
      <c r="H280" s="20"/>
      <c r="I280">
        <v>280</v>
      </c>
    </row>
    <row r="281" spans="1:9" ht="63.75" x14ac:dyDescent="0.2">
      <c r="A281" s="2" t="s">
        <v>222</v>
      </c>
      <c r="B281" s="2" t="s">
        <v>37</v>
      </c>
      <c r="C281" s="20">
        <v>42691.614907407406</v>
      </c>
      <c r="D281" s="2" t="s">
        <v>6</v>
      </c>
      <c r="E281" s="2" t="s">
        <v>102</v>
      </c>
      <c r="F281" s="20">
        <v>42704.460439814815</v>
      </c>
      <c r="G281" s="20">
        <v>42720.59646990741</v>
      </c>
      <c r="H281" s="20"/>
      <c r="I281">
        <v>281</v>
      </c>
    </row>
    <row r="282" spans="1:9" ht="25.5" x14ac:dyDescent="0.2">
      <c r="A282" s="2" t="s">
        <v>221</v>
      </c>
      <c r="B282" s="2" t="s">
        <v>83</v>
      </c>
      <c r="C282" s="20">
        <v>42698.843217592592</v>
      </c>
      <c r="D282" s="2" t="s">
        <v>5</v>
      </c>
      <c r="E282" s="2" t="s">
        <v>39</v>
      </c>
      <c r="F282" s="20">
        <v>42698.850138888891</v>
      </c>
      <c r="G282" s="20"/>
      <c r="H282" s="20"/>
      <c r="I282">
        <v>282</v>
      </c>
    </row>
    <row r="283" spans="1:9" ht="25.5" x14ac:dyDescent="0.2">
      <c r="A283" s="2" t="s">
        <v>221</v>
      </c>
      <c r="B283" s="2" t="s">
        <v>83</v>
      </c>
      <c r="C283" s="20">
        <v>42698.843217592592</v>
      </c>
      <c r="D283" s="2" t="s">
        <v>5</v>
      </c>
      <c r="E283" s="2" t="s">
        <v>71</v>
      </c>
      <c r="F283" s="20">
        <v>42698.85083333333</v>
      </c>
      <c r="G283" s="20"/>
      <c r="H283" s="20"/>
      <c r="I283">
        <v>283</v>
      </c>
    </row>
    <row r="284" spans="1:9" ht="51" x14ac:dyDescent="0.2">
      <c r="A284" s="2" t="s">
        <v>221</v>
      </c>
      <c r="B284" s="2" t="s">
        <v>83</v>
      </c>
      <c r="C284" s="20">
        <v>42698.843217592592</v>
      </c>
      <c r="D284" s="2" t="s">
        <v>6</v>
      </c>
      <c r="E284" s="2" t="s">
        <v>193</v>
      </c>
      <c r="F284" s="20">
        <v>42698.85083333333</v>
      </c>
      <c r="G284" s="20"/>
      <c r="H284" s="20"/>
      <c r="I284">
        <v>284</v>
      </c>
    </row>
    <row r="285" spans="1:9" ht="25.5" x14ac:dyDescent="0.2">
      <c r="A285" s="2" t="s">
        <v>219</v>
      </c>
      <c r="B285" s="2" t="s">
        <v>37</v>
      </c>
      <c r="C285" s="20">
        <v>42705.547777777778</v>
      </c>
      <c r="D285" s="2" t="s">
        <v>5</v>
      </c>
      <c r="E285" s="2" t="s">
        <v>40</v>
      </c>
      <c r="F285" s="20">
        <v>42705.547881944447</v>
      </c>
      <c r="G285" s="20"/>
      <c r="H285" s="20"/>
      <c r="I285">
        <v>285</v>
      </c>
    </row>
    <row r="286" spans="1:9" ht="51" x14ac:dyDescent="0.2">
      <c r="A286" s="2" t="s">
        <v>219</v>
      </c>
      <c r="B286" s="2" t="s">
        <v>37</v>
      </c>
      <c r="C286" s="20">
        <v>42705.547777777778</v>
      </c>
      <c r="D286" s="2" t="s">
        <v>5</v>
      </c>
      <c r="E286" s="2" t="s">
        <v>139</v>
      </c>
      <c r="F286" s="20">
        <v>42705.549386574072</v>
      </c>
      <c r="G286" s="20"/>
      <c r="H286" s="20"/>
      <c r="I286">
        <v>286</v>
      </c>
    </row>
    <row r="287" spans="1:9" ht="63.75" x14ac:dyDescent="0.2">
      <c r="A287" s="2" t="s">
        <v>219</v>
      </c>
      <c r="B287" s="2" t="s">
        <v>37</v>
      </c>
      <c r="C287" s="20">
        <v>42705.547777777778</v>
      </c>
      <c r="D287" s="2" t="s">
        <v>6</v>
      </c>
      <c r="E287" s="2" t="s">
        <v>220</v>
      </c>
      <c r="F287" s="20">
        <v>42705.597071759257</v>
      </c>
      <c r="G287" s="20"/>
      <c r="H287" s="20"/>
      <c r="I287">
        <v>287</v>
      </c>
    </row>
    <row r="288" spans="1:9" ht="25.5" x14ac:dyDescent="0.2">
      <c r="A288" s="2" t="s">
        <v>219</v>
      </c>
      <c r="B288" s="2" t="s">
        <v>37</v>
      </c>
      <c r="C288" s="20">
        <v>42705.547777777778</v>
      </c>
      <c r="D288" s="2" t="s">
        <v>5</v>
      </c>
      <c r="E288" s="2" t="s">
        <v>39</v>
      </c>
      <c r="F288" s="20">
        <v>42710.350370370368</v>
      </c>
      <c r="G288" s="20"/>
      <c r="H288" s="20"/>
      <c r="I288">
        <v>288</v>
      </c>
    </row>
    <row r="289" spans="1:9" ht="63.75" x14ac:dyDescent="0.2">
      <c r="A289" s="2" t="s">
        <v>219</v>
      </c>
      <c r="B289" s="2" t="s">
        <v>37</v>
      </c>
      <c r="C289" s="20">
        <v>42705.547777777778</v>
      </c>
      <c r="D289" s="2" t="s">
        <v>6</v>
      </c>
      <c r="E289" s="2" t="s">
        <v>60</v>
      </c>
      <c r="F289" s="20">
        <v>42710.351701388892</v>
      </c>
      <c r="G289" s="20"/>
      <c r="H289" s="20"/>
      <c r="I289">
        <v>289</v>
      </c>
    </row>
    <row r="290" spans="1:9" ht="25.5" x14ac:dyDescent="0.2">
      <c r="A290" s="2" t="s">
        <v>219</v>
      </c>
      <c r="B290" s="2" t="s">
        <v>37</v>
      </c>
      <c r="C290" s="20">
        <v>42705.547777777778</v>
      </c>
      <c r="D290" s="2" t="s">
        <v>5</v>
      </c>
      <c r="E290" s="2" t="s">
        <v>135</v>
      </c>
      <c r="F290" s="20">
        <v>42710.370150462964</v>
      </c>
      <c r="G290" s="20"/>
      <c r="H290" s="20"/>
      <c r="I290">
        <v>290</v>
      </c>
    </row>
    <row r="291" spans="1:9" ht="25.5" x14ac:dyDescent="0.2">
      <c r="A291" s="2" t="s">
        <v>219</v>
      </c>
      <c r="B291" s="2" t="s">
        <v>37</v>
      </c>
      <c r="C291" s="20">
        <v>42705.547777777778</v>
      </c>
      <c r="D291" s="2" t="s">
        <v>5</v>
      </c>
      <c r="E291" s="2" t="s">
        <v>39</v>
      </c>
      <c r="F291" s="20">
        <v>42710.378148148149</v>
      </c>
      <c r="G291" s="20"/>
      <c r="H291" s="20"/>
      <c r="I291">
        <v>291</v>
      </c>
    </row>
    <row r="292" spans="1:9" ht="25.5" x14ac:dyDescent="0.2">
      <c r="A292" s="2" t="s">
        <v>219</v>
      </c>
      <c r="B292" s="2" t="s">
        <v>37</v>
      </c>
      <c r="C292" s="20">
        <v>42705.547777777778</v>
      </c>
      <c r="D292" s="2" t="s">
        <v>5</v>
      </c>
      <c r="E292" s="2" t="s">
        <v>135</v>
      </c>
      <c r="F292" s="20">
        <v>42710.378437500003</v>
      </c>
      <c r="G292" s="20"/>
      <c r="H292" s="20"/>
      <c r="I292">
        <v>292</v>
      </c>
    </row>
    <row r="293" spans="1:9" ht="25.5" x14ac:dyDescent="0.2">
      <c r="A293" s="2" t="s">
        <v>218</v>
      </c>
      <c r="B293" s="2" t="s">
        <v>37</v>
      </c>
      <c r="C293" s="20">
        <v>42711.588877314818</v>
      </c>
      <c r="D293" s="2" t="s">
        <v>5</v>
      </c>
      <c r="E293" s="2" t="s">
        <v>39</v>
      </c>
      <c r="F293" s="20">
        <v>42711.594351851854</v>
      </c>
      <c r="G293" s="20"/>
      <c r="H293" s="20"/>
      <c r="I293">
        <v>293</v>
      </c>
    </row>
    <row r="294" spans="1:9" ht="25.5" x14ac:dyDescent="0.2">
      <c r="A294" s="2" t="s">
        <v>218</v>
      </c>
      <c r="B294" s="2" t="s">
        <v>37</v>
      </c>
      <c r="C294" s="20">
        <v>42711.588877314818</v>
      </c>
      <c r="D294" s="2" t="s">
        <v>5</v>
      </c>
      <c r="E294" s="2" t="s">
        <v>71</v>
      </c>
      <c r="F294" s="20">
        <v>42711.595034722224</v>
      </c>
      <c r="G294" s="20"/>
      <c r="H294" s="20"/>
      <c r="I294">
        <v>294</v>
      </c>
    </row>
    <row r="295" spans="1:9" ht="51" x14ac:dyDescent="0.2">
      <c r="A295" s="2" t="s">
        <v>218</v>
      </c>
      <c r="B295" s="2" t="s">
        <v>37</v>
      </c>
      <c r="C295" s="20">
        <v>42711.588877314818</v>
      </c>
      <c r="D295" s="2" t="s">
        <v>6</v>
      </c>
      <c r="E295" s="2" t="s">
        <v>193</v>
      </c>
      <c r="F295" s="20">
        <v>42711.595034722224</v>
      </c>
      <c r="G295" s="20"/>
      <c r="H295" s="20"/>
      <c r="I295">
        <v>295</v>
      </c>
    </row>
    <row r="296" spans="1:9" ht="25.5" x14ac:dyDescent="0.2">
      <c r="A296" s="2" t="s">
        <v>217</v>
      </c>
      <c r="B296" s="2" t="s">
        <v>83</v>
      </c>
      <c r="C296" s="20">
        <v>42716.523587962962</v>
      </c>
      <c r="D296" s="2" t="s">
        <v>5</v>
      </c>
      <c r="E296" s="2" t="s">
        <v>40</v>
      </c>
      <c r="F296" s="20">
        <v>42716.523645833331</v>
      </c>
      <c r="G296" s="20">
        <v>42732.509872685187</v>
      </c>
      <c r="H296" s="20"/>
      <c r="I296">
        <v>296</v>
      </c>
    </row>
    <row r="297" spans="1:9" ht="25.5" x14ac:dyDescent="0.2">
      <c r="A297" s="2" t="s">
        <v>217</v>
      </c>
      <c r="B297" s="2" t="s">
        <v>83</v>
      </c>
      <c r="C297" s="20">
        <v>42716.523587962962</v>
      </c>
      <c r="D297" s="2" t="s">
        <v>5</v>
      </c>
      <c r="E297" s="2" t="s">
        <v>39</v>
      </c>
      <c r="F297" s="20">
        <v>42716.523842592593</v>
      </c>
      <c r="G297" s="20">
        <v>42732.509872685187</v>
      </c>
      <c r="H297" s="20"/>
      <c r="I297">
        <v>297</v>
      </c>
    </row>
    <row r="298" spans="1:9" ht="63.75" x14ac:dyDescent="0.2">
      <c r="A298" s="2" t="s">
        <v>217</v>
      </c>
      <c r="B298" s="2" t="s">
        <v>83</v>
      </c>
      <c r="C298" s="20">
        <v>42716.523587962962</v>
      </c>
      <c r="D298" s="2" t="s">
        <v>6</v>
      </c>
      <c r="E298" s="2" t="s">
        <v>96</v>
      </c>
      <c r="F298" s="20">
        <v>42716.525347222225</v>
      </c>
      <c r="G298" s="20">
        <v>42732.509872685187</v>
      </c>
      <c r="H298" s="20"/>
      <c r="I298">
        <v>298</v>
      </c>
    </row>
    <row r="299" spans="1:9" ht="25.5" x14ac:dyDescent="0.2">
      <c r="A299" s="2" t="s">
        <v>217</v>
      </c>
      <c r="B299" s="2" t="s">
        <v>83</v>
      </c>
      <c r="C299" s="20">
        <v>42716.523587962962</v>
      </c>
      <c r="D299" s="2" t="s">
        <v>5</v>
      </c>
      <c r="E299" s="2" t="s">
        <v>71</v>
      </c>
      <c r="F299" s="20">
        <v>42718.607060185182</v>
      </c>
      <c r="G299" s="20">
        <v>42732.509872685187</v>
      </c>
      <c r="H299" s="20"/>
      <c r="I299">
        <v>299</v>
      </c>
    </row>
    <row r="300" spans="1:9" ht="63.75" x14ac:dyDescent="0.2">
      <c r="A300" s="2" t="s">
        <v>217</v>
      </c>
      <c r="B300" s="2" t="s">
        <v>83</v>
      </c>
      <c r="C300" s="20">
        <v>42716.523587962962</v>
      </c>
      <c r="D300" s="2" t="s">
        <v>6</v>
      </c>
      <c r="E300" s="2" t="s">
        <v>102</v>
      </c>
      <c r="F300" s="20">
        <v>42719.522557870368</v>
      </c>
      <c r="G300" s="20">
        <v>42732.509872685187</v>
      </c>
      <c r="H300" s="20"/>
      <c r="I300">
        <v>300</v>
      </c>
    </row>
    <row r="301" spans="1:9" ht="25.5" x14ac:dyDescent="0.2">
      <c r="A301" s="2" t="s">
        <v>216</v>
      </c>
      <c r="B301" s="2" t="s">
        <v>83</v>
      </c>
      <c r="C301" s="20">
        <v>42717.46671296296</v>
      </c>
      <c r="D301" s="2" t="s">
        <v>5</v>
      </c>
      <c r="E301" s="2" t="s">
        <v>39</v>
      </c>
      <c r="F301" s="20">
        <v>42717.468611111108</v>
      </c>
      <c r="G301" s="20"/>
      <c r="H301" s="20"/>
      <c r="I301">
        <v>301</v>
      </c>
    </row>
    <row r="302" spans="1:9" ht="25.5" x14ac:dyDescent="0.2">
      <c r="A302" s="2" t="s">
        <v>216</v>
      </c>
      <c r="B302" s="2" t="s">
        <v>83</v>
      </c>
      <c r="C302" s="20">
        <v>42717.46671296296</v>
      </c>
      <c r="D302" s="2" t="s">
        <v>5</v>
      </c>
      <c r="E302" s="2" t="s">
        <v>71</v>
      </c>
      <c r="F302" s="20">
        <v>42717.469444444447</v>
      </c>
      <c r="G302" s="20"/>
      <c r="H302" s="20"/>
      <c r="I302">
        <v>302</v>
      </c>
    </row>
    <row r="303" spans="1:9" ht="51" x14ac:dyDescent="0.2">
      <c r="A303" s="2" t="s">
        <v>216</v>
      </c>
      <c r="B303" s="2" t="s">
        <v>83</v>
      </c>
      <c r="C303" s="20">
        <v>42717.46671296296</v>
      </c>
      <c r="D303" s="2" t="s">
        <v>6</v>
      </c>
      <c r="E303" s="2" t="s">
        <v>193</v>
      </c>
      <c r="F303" s="20">
        <v>42717.469444444447</v>
      </c>
      <c r="G303" s="20"/>
      <c r="H303" s="20"/>
      <c r="I303">
        <v>303</v>
      </c>
    </row>
    <row r="304" spans="1:9" ht="25.5" x14ac:dyDescent="0.2">
      <c r="A304" s="2" t="s">
        <v>215</v>
      </c>
      <c r="B304" s="2" t="s">
        <v>37</v>
      </c>
      <c r="C304" s="20">
        <v>42720.342789351853</v>
      </c>
      <c r="D304" s="2" t="s">
        <v>5</v>
      </c>
      <c r="E304" s="2" t="s">
        <v>40</v>
      </c>
      <c r="F304" s="20">
        <v>42720.342835648145</v>
      </c>
      <c r="G304" s="20"/>
      <c r="H304" s="20"/>
      <c r="I304">
        <v>304</v>
      </c>
    </row>
    <row r="305" spans="1:9" ht="25.5" x14ac:dyDescent="0.2">
      <c r="A305" s="2" t="s">
        <v>215</v>
      </c>
      <c r="B305" s="2" t="s">
        <v>37</v>
      </c>
      <c r="C305" s="20">
        <v>42720.342789351853</v>
      </c>
      <c r="D305" s="2" t="s">
        <v>5</v>
      </c>
      <c r="E305" s="2" t="s">
        <v>87</v>
      </c>
      <c r="F305" s="20">
        <v>42720.34646990741</v>
      </c>
      <c r="G305" s="20"/>
      <c r="H305" s="20"/>
      <c r="I305">
        <v>305</v>
      </c>
    </row>
    <row r="306" spans="1:9" ht="25.5" x14ac:dyDescent="0.2">
      <c r="A306" s="2" t="s">
        <v>215</v>
      </c>
      <c r="B306" s="2" t="s">
        <v>37</v>
      </c>
      <c r="C306" s="20">
        <v>42720.342789351853</v>
      </c>
      <c r="D306" s="2" t="s">
        <v>5</v>
      </c>
      <c r="E306" s="2" t="s">
        <v>69</v>
      </c>
      <c r="F306" s="20">
        <v>42720.42597222222</v>
      </c>
      <c r="G306" s="20"/>
      <c r="H306" s="20"/>
      <c r="I306">
        <v>306</v>
      </c>
    </row>
    <row r="307" spans="1:9" ht="51" x14ac:dyDescent="0.2">
      <c r="A307" s="2" t="s">
        <v>215</v>
      </c>
      <c r="B307" s="2" t="s">
        <v>37</v>
      </c>
      <c r="C307" s="20">
        <v>42720.342789351853</v>
      </c>
      <c r="D307" s="2" t="s">
        <v>6</v>
      </c>
      <c r="E307" s="2" t="s">
        <v>105</v>
      </c>
      <c r="F307" s="20">
        <v>42720.4299537037</v>
      </c>
      <c r="G307" s="20"/>
      <c r="H307" s="20"/>
      <c r="I307">
        <v>307</v>
      </c>
    </row>
    <row r="308" spans="1:9" ht="25.5" x14ac:dyDescent="0.2">
      <c r="A308" s="2" t="s">
        <v>215</v>
      </c>
      <c r="B308" s="2" t="s">
        <v>37</v>
      </c>
      <c r="C308" s="20">
        <v>42720.342789351853</v>
      </c>
      <c r="D308" s="2" t="s">
        <v>5</v>
      </c>
      <c r="E308" s="2" t="s">
        <v>135</v>
      </c>
      <c r="F308" s="20">
        <v>42720.430219907408</v>
      </c>
      <c r="G308" s="20"/>
      <c r="H308" s="20"/>
      <c r="I308">
        <v>308</v>
      </c>
    </row>
    <row r="309" spans="1:9" ht="25.5" x14ac:dyDescent="0.2">
      <c r="A309" s="2" t="s">
        <v>214</v>
      </c>
      <c r="B309" s="2" t="s">
        <v>37</v>
      </c>
      <c r="C309" s="20">
        <v>42723.476782407408</v>
      </c>
      <c r="D309" s="2" t="s">
        <v>5</v>
      </c>
      <c r="E309" s="2" t="s">
        <v>40</v>
      </c>
      <c r="F309" s="20">
        <v>42723.476793981485</v>
      </c>
      <c r="G309" s="20"/>
      <c r="H309" s="20"/>
      <c r="I309">
        <v>309</v>
      </c>
    </row>
    <row r="310" spans="1:9" ht="25.5" x14ac:dyDescent="0.2">
      <c r="A310" s="2" t="s">
        <v>214</v>
      </c>
      <c r="B310" s="2" t="s">
        <v>37</v>
      </c>
      <c r="C310" s="20">
        <v>42723.476782407408</v>
      </c>
      <c r="D310" s="2" t="s">
        <v>5</v>
      </c>
      <c r="E310" s="2" t="s">
        <v>39</v>
      </c>
      <c r="F310" s="20">
        <v>42723.477141203701</v>
      </c>
      <c r="G310" s="20"/>
      <c r="H310" s="20"/>
      <c r="I310">
        <v>310</v>
      </c>
    </row>
    <row r="311" spans="1:9" ht="25.5" x14ac:dyDescent="0.2">
      <c r="A311" s="2" t="s">
        <v>214</v>
      </c>
      <c r="B311" s="2" t="s">
        <v>37</v>
      </c>
      <c r="C311" s="20">
        <v>42723.476782407408</v>
      </c>
      <c r="D311" s="2" t="s">
        <v>5</v>
      </c>
      <c r="E311" s="2" t="s">
        <v>71</v>
      </c>
      <c r="F311" s="20">
        <v>42723.485625000001</v>
      </c>
      <c r="G311" s="20"/>
      <c r="H311" s="20"/>
      <c r="I311">
        <v>311</v>
      </c>
    </row>
    <row r="312" spans="1:9" ht="63.75" x14ac:dyDescent="0.2">
      <c r="A312" s="2" t="s">
        <v>214</v>
      </c>
      <c r="B312" s="2" t="s">
        <v>37</v>
      </c>
      <c r="C312" s="20">
        <v>42723.476782407408</v>
      </c>
      <c r="D312" s="2" t="s">
        <v>6</v>
      </c>
      <c r="E312" s="2" t="s">
        <v>102</v>
      </c>
      <c r="F312" s="20">
        <v>42739.605995370373</v>
      </c>
      <c r="G312" s="20"/>
      <c r="H312" s="20"/>
      <c r="I312">
        <v>312</v>
      </c>
    </row>
    <row r="313" spans="1:9" ht="25.5" x14ac:dyDescent="0.2">
      <c r="A313" s="2" t="s">
        <v>213</v>
      </c>
      <c r="B313" s="2" t="s">
        <v>37</v>
      </c>
      <c r="C313" s="20">
        <v>42726.344594907408</v>
      </c>
      <c r="D313" s="2" t="s">
        <v>5</v>
      </c>
      <c r="E313" s="2" t="s">
        <v>40</v>
      </c>
      <c r="F313" s="20">
        <v>42726.344687500001</v>
      </c>
      <c r="G313" s="20">
        <v>42744.552986111114</v>
      </c>
      <c r="H313" s="20"/>
      <c r="I313">
        <v>313</v>
      </c>
    </row>
    <row r="314" spans="1:9" ht="25.5" x14ac:dyDescent="0.2">
      <c r="A314" s="2" t="s">
        <v>213</v>
      </c>
      <c r="B314" s="2" t="s">
        <v>37</v>
      </c>
      <c r="C314" s="20">
        <v>42726.344594907408</v>
      </c>
      <c r="D314" s="2" t="s">
        <v>5</v>
      </c>
      <c r="E314" s="2" t="s">
        <v>71</v>
      </c>
      <c r="F314" s="20">
        <v>42726.346631944441</v>
      </c>
      <c r="G314" s="20">
        <v>42744.552986111114</v>
      </c>
      <c r="H314" s="20"/>
      <c r="I314">
        <v>314</v>
      </c>
    </row>
    <row r="315" spans="1:9" ht="63.75" x14ac:dyDescent="0.2">
      <c r="A315" s="2" t="s">
        <v>213</v>
      </c>
      <c r="B315" s="2" t="s">
        <v>37</v>
      </c>
      <c r="C315" s="20">
        <v>42726.344594907408</v>
      </c>
      <c r="D315" s="2" t="s">
        <v>6</v>
      </c>
      <c r="E315" s="2" t="s">
        <v>102</v>
      </c>
      <c r="F315" s="20">
        <v>42744.552997685183</v>
      </c>
      <c r="G315" s="20">
        <v>42744.552986111114</v>
      </c>
      <c r="H315" s="20"/>
      <c r="I315">
        <v>315</v>
      </c>
    </row>
    <row r="316" spans="1:9" ht="25.5" x14ac:dyDescent="0.2">
      <c r="A316" s="2" t="s">
        <v>212</v>
      </c>
      <c r="B316" s="2" t="s">
        <v>37</v>
      </c>
      <c r="C316" s="20">
        <v>42731.363611111112</v>
      </c>
      <c r="D316" s="2" t="s">
        <v>5</v>
      </c>
      <c r="E316" s="2" t="s">
        <v>40</v>
      </c>
      <c r="F316" s="20">
        <v>42731.363634259258</v>
      </c>
      <c r="G316" s="20"/>
      <c r="H316" s="20"/>
      <c r="I316">
        <v>316</v>
      </c>
    </row>
    <row r="317" spans="1:9" ht="25.5" x14ac:dyDescent="0.2">
      <c r="A317" s="2" t="s">
        <v>212</v>
      </c>
      <c r="B317" s="2" t="s">
        <v>37</v>
      </c>
      <c r="C317" s="20">
        <v>42731.363611111112</v>
      </c>
      <c r="D317" s="2" t="s">
        <v>5</v>
      </c>
      <c r="E317" s="2" t="s">
        <v>39</v>
      </c>
      <c r="F317" s="20">
        <v>42731.367048611108</v>
      </c>
      <c r="G317" s="20"/>
      <c r="H317" s="20"/>
      <c r="I317">
        <v>317</v>
      </c>
    </row>
    <row r="318" spans="1:9" ht="63.75" x14ac:dyDescent="0.2">
      <c r="A318" s="2" t="s">
        <v>212</v>
      </c>
      <c r="B318" s="2" t="s">
        <v>37</v>
      </c>
      <c r="C318" s="20">
        <v>42731.363611111112</v>
      </c>
      <c r="D318" s="2" t="s">
        <v>6</v>
      </c>
      <c r="E318" s="2" t="s">
        <v>115</v>
      </c>
      <c r="F318" s="20">
        <v>42731.378298611111</v>
      </c>
      <c r="G318" s="20"/>
      <c r="H318" s="20"/>
      <c r="I318">
        <v>318</v>
      </c>
    </row>
    <row r="319" spans="1:9" ht="25.5" x14ac:dyDescent="0.2">
      <c r="A319" s="2" t="s">
        <v>212</v>
      </c>
      <c r="B319" s="2" t="s">
        <v>37</v>
      </c>
      <c r="C319" s="20">
        <v>42731.363611111112</v>
      </c>
      <c r="D319" s="2" t="s">
        <v>5</v>
      </c>
      <c r="E319" s="2" t="s">
        <v>135</v>
      </c>
      <c r="F319" s="20">
        <v>42734.379872685182</v>
      </c>
      <c r="G319" s="20"/>
      <c r="H319" s="20"/>
      <c r="I319">
        <v>319</v>
      </c>
    </row>
    <row r="320" spans="1:9" ht="25.5" x14ac:dyDescent="0.2">
      <c r="A320" s="2" t="s">
        <v>211</v>
      </c>
      <c r="B320" s="2" t="s">
        <v>37</v>
      </c>
      <c r="C320" s="20">
        <v>42734.394490740742</v>
      </c>
      <c r="D320" s="2" t="s">
        <v>5</v>
      </c>
      <c r="E320" s="2" t="s">
        <v>40</v>
      </c>
      <c r="F320" s="20">
        <v>42734.394502314812</v>
      </c>
      <c r="G320" s="20"/>
      <c r="H320" s="20"/>
      <c r="I320">
        <v>320</v>
      </c>
    </row>
    <row r="321" spans="1:9" ht="25.5" x14ac:dyDescent="0.2">
      <c r="A321" s="2" t="s">
        <v>211</v>
      </c>
      <c r="B321" s="2" t="s">
        <v>37</v>
      </c>
      <c r="C321" s="20">
        <v>42734.394490740742</v>
      </c>
      <c r="D321" s="2" t="s">
        <v>5</v>
      </c>
      <c r="E321" s="2" t="s">
        <v>135</v>
      </c>
      <c r="F321" s="20">
        <v>42734.395069444443</v>
      </c>
      <c r="G321" s="20"/>
      <c r="H321" s="20"/>
      <c r="I321">
        <v>321</v>
      </c>
    </row>
    <row r="322" spans="1:9" ht="25.5" x14ac:dyDescent="0.2">
      <c r="A322" s="2" t="s">
        <v>210</v>
      </c>
      <c r="B322" s="2" t="s">
        <v>37</v>
      </c>
      <c r="C322" s="20">
        <v>42734.395740740743</v>
      </c>
      <c r="D322" s="2" t="s">
        <v>5</v>
      </c>
      <c r="E322" s="2" t="s">
        <v>40</v>
      </c>
      <c r="F322" s="20">
        <v>42734.395752314813</v>
      </c>
      <c r="G322" s="20"/>
      <c r="H322" s="20"/>
      <c r="I322">
        <v>322</v>
      </c>
    </row>
    <row r="323" spans="1:9" ht="25.5" x14ac:dyDescent="0.2">
      <c r="A323" s="2" t="s">
        <v>210</v>
      </c>
      <c r="B323" s="2" t="s">
        <v>37</v>
      </c>
      <c r="C323" s="20">
        <v>42734.395740740743</v>
      </c>
      <c r="D323" s="2" t="s">
        <v>5</v>
      </c>
      <c r="E323" s="2" t="s">
        <v>135</v>
      </c>
      <c r="F323" s="20">
        <v>42734.396122685182</v>
      </c>
      <c r="G323" s="20"/>
      <c r="H323" s="20"/>
      <c r="I323">
        <v>323</v>
      </c>
    </row>
    <row r="324" spans="1:9" ht="25.5" x14ac:dyDescent="0.2">
      <c r="A324" s="2" t="s">
        <v>209</v>
      </c>
      <c r="B324" s="2" t="s">
        <v>37</v>
      </c>
      <c r="C324" s="20">
        <v>42744.474699074075</v>
      </c>
      <c r="D324" s="2" t="s">
        <v>5</v>
      </c>
      <c r="E324" s="2" t="s">
        <v>40</v>
      </c>
      <c r="F324" s="20">
        <v>42744.474722222221</v>
      </c>
      <c r="G324" s="20"/>
      <c r="H324" s="20"/>
      <c r="I324">
        <v>324</v>
      </c>
    </row>
    <row r="325" spans="1:9" ht="25.5" x14ac:dyDescent="0.2">
      <c r="A325" s="2" t="s">
        <v>209</v>
      </c>
      <c r="B325" s="2" t="s">
        <v>37</v>
      </c>
      <c r="C325" s="20">
        <v>42744.474699074075</v>
      </c>
      <c r="D325" s="2" t="s">
        <v>5</v>
      </c>
      <c r="E325" s="2" t="s">
        <v>135</v>
      </c>
      <c r="F325" s="20">
        <v>42744.485254629632</v>
      </c>
      <c r="G325" s="20"/>
      <c r="H325" s="20"/>
      <c r="I325">
        <v>325</v>
      </c>
    </row>
    <row r="326" spans="1:9" ht="25.5" x14ac:dyDescent="0.2">
      <c r="A326" s="2" t="s">
        <v>208</v>
      </c>
      <c r="B326" s="2" t="s">
        <v>83</v>
      </c>
      <c r="C326" s="20">
        <v>42744.659803240742</v>
      </c>
      <c r="D326" s="2" t="s">
        <v>5</v>
      </c>
      <c r="E326" s="2" t="s">
        <v>40</v>
      </c>
      <c r="F326" s="20">
        <v>42744.659837962965</v>
      </c>
      <c r="G326" s="20"/>
      <c r="H326" s="20"/>
      <c r="I326">
        <v>326</v>
      </c>
    </row>
    <row r="327" spans="1:9" ht="25.5" x14ac:dyDescent="0.2">
      <c r="A327" s="2" t="s">
        <v>208</v>
      </c>
      <c r="B327" s="2" t="s">
        <v>83</v>
      </c>
      <c r="C327" s="20">
        <v>42744.659803240742</v>
      </c>
      <c r="D327" s="2" t="s">
        <v>5</v>
      </c>
      <c r="E327" s="2" t="s">
        <v>39</v>
      </c>
      <c r="F327" s="20">
        <v>42744.662627314814</v>
      </c>
      <c r="G327" s="20"/>
      <c r="H327" s="20"/>
      <c r="I327">
        <v>327</v>
      </c>
    </row>
    <row r="328" spans="1:9" ht="63.75" x14ac:dyDescent="0.2">
      <c r="A328" s="2" t="s">
        <v>208</v>
      </c>
      <c r="B328" s="2" t="s">
        <v>83</v>
      </c>
      <c r="C328" s="20">
        <v>42744.659803240742</v>
      </c>
      <c r="D328" s="2" t="s">
        <v>6</v>
      </c>
      <c r="E328" s="2" t="s">
        <v>96</v>
      </c>
      <c r="F328" s="20">
        <v>42744.666377314818</v>
      </c>
      <c r="G328" s="20"/>
      <c r="H328" s="20"/>
      <c r="I328">
        <v>328</v>
      </c>
    </row>
    <row r="329" spans="1:9" ht="25.5" x14ac:dyDescent="0.2">
      <c r="A329" s="2" t="s">
        <v>208</v>
      </c>
      <c r="B329" s="2" t="s">
        <v>83</v>
      </c>
      <c r="C329" s="20">
        <v>42744.659803240742</v>
      </c>
      <c r="D329" s="2" t="s">
        <v>5</v>
      </c>
      <c r="E329" s="2" t="s">
        <v>71</v>
      </c>
      <c r="F329" s="20">
        <v>42744.667650462965</v>
      </c>
      <c r="G329" s="20"/>
      <c r="H329" s="20"/>
      <c r="I329">
        <v>329</v>
      </c>
    </row>
    <row r="330" spans="1:9" ht="51" x14ac:dyDescent="0.2">
      <c r="A330" s="2" t="s">
        <v>208</v>
      </c>
      <c r="B330" s="2" t="s">
        <v>83</v>
      </c>
      <c r="C330" s="20">
        <v>42744.659803240742</v>
      </c>
      <c r="D330" s="2" t="s">
        <v>6</v>
      </c>
      <c r="E330" s="2" t="s">
        <v>193</v>
      </c>
      <c r="F330" s="20">
        <v>42744.686608796299</v>
      </c>
      <c r="G330" s="20"/>
      <c r="H330" s="20"/>
      <c r="I330">
        <v>330</v>
      </c>
    </row>
    <row r="331" spans="1:9" ht="25.5" x14ac:dyDescent="0.2">
      <c r="A331" s="2" t="s">
        <v>207</v>
      </c>
      <c r="B331" s="2" t="s">
        <v>37</v>
      </c>
      <c r="C331" s="20">
        <v>42745.520543981482</v>
      </c>
      <c r="D331" s="2" t="s">
        <v>5</v>
      </c>
      <c r="E331" s="2" t="s">
        <v>40</v>
      </c>
      <c r="F331" s="20">
        <v>42745.520555555559</v>
      </c>
      <c r="G331" s="20"/>
      <c r="H331" s="20"/>
      <c r="I331">
        <v>331</v>
      </c>
    </row>
    <row r="332" spans="1:9" ht="25.5" x14ac:dyDescent="0.2">
      <c r="A332" s="2" t="s">
        <v>207</v>
      </c>
      <c r="B332" s="2" t="s">
        <v>37</v>
      </c>
      <c r="C332" s="20">
        <v>42745.520543981482</v>
      </c>
      <c r="D332" s="2" t="s">
        <v>5</v>
      </c>
      <c r="E332" s="2" t="s">
        <v>39</v>
      </c>
      <c r="F332" s="20">
        <v>42745.541273148148</v>
      </c>
      <c r="G332" s="20"/>
      <c r="H332" s="20"/>
      <c r="I332">
        <v>332</v>
      </c>
    </row>
    <row r="333" spans="1:9" ht="63.75" x14ac:dyDescent="0.2">
      <c r="A333" s="2" t="s">
        <v>207</v>
      </c>
      <c r="B333" s="2" t="s">
        <v>37</v>
      </c>
      <c r="C333" s="20">
        <v>42745.520543981482</v>
      </c>
      <c r="D333" s="2" t="s">
        <v>6</v>
      </c>
      <c r="E333" s="2" t="s">
        <v>43</v>
      </c>
      <c r="F333" s="20">
        <v>42745.541273148148</v>
      </c>
      <c r="G333" s="20"/>
      <c r="H333" s="20"/>
      <c r="I333">
        <v>333</v>
      </c>
    </row>
    <row r="334" spans="1:9" ht="25.5" x14ac:dyDescent="0.2">
      <c r="A334" s="2" t="s">
        <v>207</v>
      </c>
      <c r="B334" s="2" t="s">
        <v>37</v>
      </c>
      <c r="C334" s="20">
        <v>42745.520543981482</v>
      </c>
      <c r="D334" s="2" t="s">
        <v>5</v>
      </c>
      <c r="E334" s="2" t="s">
        <v>69</v>
      </c>
      <c r="F334" s="20">
        <v>42758.461863425924</v>
      </c>
      <c r="G334" s="20"/>
      <c r="H334" s="20"/>
      <c r="I334">
        <v>334</v>
      </c>
    </row>
    <row r="335" spans="1:9" ht="63.75" x14ac:dyDescent="0.2">
      <c r="A335" s="2" t="s">
        <v>207</v>
      </c>
      <c r="B335" s="2" t="s">
        <v>37</v>
      </c>
      <c r="C335" s="20">
        <v>42745.520543981482</v>
      </c>
      <c r="D335" s="2" t="s">
        <v>6</v>
      </c>
      <c r="E335" s="2" t="s">
        <v>145</v>
      </c>
      <c r="F335" s="20">
        <v>42758.518379629626</v>
      </c>
      <c r="G335" s="20"/>
      <c r="H335" s="20"/>
      <c r="I335">
        <v>335</v>
      </c>
    </row>
    <row r="336" spans="1:9" ht="25.5" x14ac:dyDescent="0.2">
      <c r="A336" s="2" t="s">
        <v>207</v>
      </c>
      <c r="B336" s="2" t="s">
        <v>37</v>
      </c>
      <c r="C336" s="20">
        <v>42745.520543981482</v>
      </c>
      <c r="D336" s="2" t="s">
        <v>5</v>
      </c>
      <c r="E336" s="2" t="s">
        <v>144</v>
      </c>
      <c r="F336" s="20">
        <v>42760.561481481483</v>
      </c>
      <c r="G336" s="20"/>
      <c r="H336" s="20"/>
      <c r="I336">
        <v>336</v>
      </c>
    </row>
    <row r="337" spans="1:9" ht="63.75" x14ac:dyDescent="0.2">
      <c r="A337" s="2" t="s">
        <v>207</v>
      </c>
      <c r="B337" s="2" t="s">
        <v>37</v>
      </c>
      <c r="C337" s="20">
        <v>42745.520543981482</v>
      </c>
      <c r="D337" s="2" t="s">
        <v>6</v>
      </c>
      <c r="E337" s="2" t="s">
        <v>142</v>
      </c>
      <c r="F337" s="20">
        <v>42760.561481481483</v>
      </c>
      <c r="G337" s="20"/>
      <c r="H337" s="20"/>
      <c r="I337">
        <v>337</v>
      </c>
    </row>
    <row r="338" spans="1:9" ht="25.5" x14ac:dyDescent="0.2">
      <c r="A338" s="2" t="s">
        <v>206</v>
      </c>
      <c r="B338" s="2" t="s">
        <v>37</v>
      </c>
      <c r="C338" s="20">
        <v>42747.630162037036</v>
      </c>
      <c r="D338" s="2" t="s">
        <v>5</v>
      </c>
      <c r="E338" s="2" t="s">
        <v>40</v>
      </c>
      <c r="F338" s="20">
        <v>42747.630266203705</v>
      </c>
      <c r="G338" s="20"/>
      <c r="H338" s="20"/>
      <c r="I338">
        <v>338</v>
      </c>
    </row>
    <row r="339" spans="1:9" ht="25.5" x14ac:dyDescent="0.2">
      <c r="A339" s="2" t="s">
        <v>206</v>
      </c>
      <c r="B339" s="2" t="s">
        <v>37</v>
      </c>
      <c r="C339" s="20">
        <v>42747.630162037036</v>
      </c>
      <c r="D339" s="2" t="s">
        <v>5</v>
      </c>
      <c r="E339" s="2" t="s">
        <v>39</v>
      </c>
      <c r="F339" s="20">
        <v>42747.633993055555</v>
      </c>
      <c r="G339" s="20"/>
      <c r="H339" s="20"/>
      <c r="I339">
        <v>339</v>
      </c>
    </row>
    <row r="340" spans="1:9" ht="25.5" x14ac:dyDescent="0.2">
      <c r="A340" s="2" t="s">
        <v>206</v>
      </c>
      <c r="B340" s="2" t="s">
        <v>37</v>
      </c>
      <c r="C340" s="20">
        <v>42747.630162037036</v>
      </c>
      <c r="D340" s="2" t="s">
        <v>5</v>
      </c>
      <c r="E340" s="2" t="s">
        <v>71</v>
      </c>
      <c r="F340" s="20">
        <v>42747.637881944444</v>
      </c>
      <c r="G340" s="20"/>
      <c r="H340" s="20"/>
      <c r="I340">
        <v>340</v>
      </c>
    </row>
    <row r="341" spans="1:9" ht="51" x14ac:dyDescent="0.2">
      <c r="A341" s="2" t="s">
        <v>206</v>
      </c>
      <c r="B341" s="2" t="s">
        <v>37</v>
      </c>
      <c r="C341" s="20">
        <v>42747.630162037036</v>
      </c>
      <c r="D341" s="2" t="s">
        <v>6</v>
      </c>
      <c r="E341" s="2" t="s">
        <v>193</v>
      </c>
      <c r="F341" s="20">
        <v>42752.52175925926</v>
      </c>
      <c r="G341" s="20"/>
      <c r="H341" s="20"/>
      <c r="I341">
        <v>341</v>
      </c>
    </row>
    <row r="342" spans="1:9" ht="25.5" x14ac:dyDescent="0.2">
      <c r="A342" s="2" t="s">
        <v>205</v>
      </c>
      <c r="B342" s="2" t="s">
        <v>83</v>
      </c>
      <c r="C342" s="20">
        <v>42752.499710648146</v>
      </c>
      <c r="D342" s="2" t="s">
        <v>5</v>
      </c>
      <c r="E342" s="2" t="s">
        <v>40</v>
      </c>
      <c r="F342" s="20">
        <v>42752.4997337963</v>
      </c>
      <c r="G342" s="20"/>
      <c r="H342" s="20"/>
      <c r="I342">
        <v>342</v>
      </c>
    </row>
    <row r="343" spans="1:9" ht="25.5" x14ac:dyDescent="0.2">
      <c r="A343" s="2" t="s">
        <v>205</v>
      </c>
      <c r="B343" s="2" t="s">
        <v>83</v>
      </c>
      <c r="C343" s="20">
        <v>42752.499710648146</v>
      </c>
      <c r="D343" s="2" t="s">
        <v>5</v>
      </c>
      <c r="E343" s="2" t="s">
        <v>69</v>
      </c>
      <c r="F343" s="20">
        <v>42752.501898148148</v>
      </c>
      <c r="G343" s="20"/>
      <c r="H343" s="20"/>
      <c r="I343">
        <v>343</v>
      </c>
    </row>
    <row r="344" spans="1:9" ht="63.75" x14ac:dyDescent="0.2">
      <c r="A344" s="2" t="s">
        <v>205</v>
      </c>
      <c r="B344" s="2" t="s">
        <v>83</v>
      </c>
      <c r="C344" s="20">
        <v>42752.499710648146</v>
      </c>
      <c r="D344" s="2" t="s">
        <v>6</v>
      </c>
      <c r="E344" s="2" t="s">
        <v>145</v>
      </c>
      <c r="F344" s="20">
        <v>42752.57236111111</v>
      </c>
      <c r="G344" s="20"/>
      <c r="H344" s="20"/>
      <c r="I344">
        <v>344</v>
      </c>
    </row>
    <row r="345" spans="1:9" ht="25.5" x14ac:dyDescent="0.2">
      <c r="A345" s="2" t="s">
        <v>205</v>
      </c>
      <c r="B345" s="2" t="s">
        <v>83</v>
      </c>
      <c r="C345" s="20">
        <v>42752.499710648146</v>
      </c>
      <c r="D345" s="2" t="s">
        <v>5</v>
      </c>
      <c r="E345" s="2" t="s">
        <v>144</v>
      </c>
      <c r="F345" s="20">
        <v>42752.573078703703</v>
      </c>
      <c r="G345" s="20"/>
      <c r="H345" s="20"/>
      <c r="I345">
        <v>345</v>
      </c>
    </row>
    <row r="346" spans="1:9" ht="63.75" x14ac:dyDescent="0.2">
      <c r="A346" s="2" t="s">
        <v>205</v>
      </c>
      <c r="B346" s="2" t="s">
        <v>83</v>
      </c>
      <c r="C346" s="20">
        <v>42752.499710648146</v>
      </c>
      <c r="D346" s="2" t="s">
        <v>6</v>
      </c>
      <c r="E346" s="2" t="s">
        <v>142</v>
      </c>
      <c r="F346" s="20">
        <v>42752.573078703703</v>
      </c>
      <c r="G346" s="20"/>
      <c r="H346" s="20"/>
      <c r="I346">
        <v>346</v>
      </c>
    </row>
    <row r="347" spans="1:9" ht="25.5" x14ac:dyDescent="0.2">
      <c r="A347" s="2" t="s">
        <v>205</v>
      </c>
      <c r="B347" s="2" t="s">
        <v>83</v>
      </c>
      <c r="C347" s="20">
        <v>42752.499710648146</v>
      </c>
      <c r="D347" s="2" t="s">
        <v>5</v>
      </c>
      <c r="E347" s="2" t="s">
        <v>71</v>
      </c>
      <c r="F347" s="20">
        <v>42772.621180555558</v>
      </c>
      <c r="G347" s="20"/>
      <c r="H347" s="20"/>
      <c r="I347">
        <v>347</v>
      </c>
    </row>
    <row r="348" spans="1:9" ht="63.75" x14ac:dyDescent="0.2">
      <c r="A348" s="2" t="s">
        <v>205</v>
      </c>
      <c r="B348" s="2" t="s">
        <v>83</v>
      </c>
      <c r="C348" s="20">
        <v>42752.499710648146</v>
      </c>
      <c r="D348" s="2" t="s">
        <v>6</v>
      </c>
      <c r="E348" s="2" t="s">
        <v>102</v>
      </c>
      <c r="F348" s="20">
        <v>42772.621180555558</v>
      </c>
      <c r="G348" s="20"/>
      <c r="H348" s="20"/>
      <c r="I348">
        <v>348</v>
      </c>
    </row>
    <row r="349" spans="1:9" ht="25.5" x14ac:dyDescent="0.2">
      <c r="A349" s="2" t="s">
        <v>201</v>
      </c>
      <c r="B349" s="2" t="s">
        <v>37</v>
      </c>
      <c r="C349" s="20">
        <v>42752.577939814815</v>
      </c>
      <c r="D349" s="2" t="s">
        <v>5</v>
      </c>
      <c r="E349" s="2" t="s">
        <v>40</v>
      </c>
      <c r="F349" s="20">
        <v>42752.577986111108</v>
      </c>
      <c r="G349" s="20">
        <v>42765.440057870372</v>
      </c>
      <c r="H349" s="20"/>
      <c r="I349">
        <v>349</v>
      </c>
    </row>
    <row r="350" spans="1:9" ht="51" x14ac:dyDescent="0.2">
      <c r="A350" s="2" t="s">
        <v>201</v>
      </c>
      <c r="B350" s="2" t="s">
        <v>37</v>
      </c>
      <c r="C350" s="20">
        <v>42752.577939814815</v>
      </c>
      <c r="D350" s="2" t="s">
        <v>5</v>
      </c>
      <c r="E350" s="2" t="s">
        <v>139</v>
      </c>
      <c r="F350" s="20">
        <v>42752.582615740743</v>
      </c>
      <c r="G350" s="20">
        <v>42765.440057870372</v>
      </c>
      <c r="H350" s="20"/>
      <c r="I350">
        <v>350</v>
      </c>
    </row>
    <row r="351" spans="1:9" ht="76.5" x14ac:dyDescent="0.2">
      <c r="A351" s="2" t="s">
        <v>201</v>
      </c>
      <c r="B351" s="2" t="s">
        <v>37</v>
      </c>
      <c r="C351" s="20">
        <v>42752.577939814815</v>
      </c>
      <c r="D351" s="2" t="s">
        <v>6</v>
      </c>
      <c r="E351" s="2" t="s">
        <v>204</v>
      </c>
      <c r="F351" s="20">
        <v>42752.582615740743</v>
      </c>
      <c r="G351" s="20">
        <v>42765.440057870372</v>
      </c>
      <c r="H351" s="20"/>
      <c r="I351">
        <v>351</v>
      </c>
    </row>
    <row r="352" spans="1:9" ht="25.5" x14ac:dyDescent="0.2">
      <c r="A352" s="2" t="s">
        <v>201</v>
      </c>
      <c r="B352" s="2" t="s">
        <v>37</v>
      </c>
      <c r="C352" s="20">
        <v>42752.577939814815</v>
      </c>
      <c r="D352" s="2" t="s">
        <v>5</v>
      </c>
      <c r="E352" s="2" t="s">
        <v>39</v>
      </c>
      <c r="F352" s="20">
        <v>42753.316064814811</v>
      </c>
      <c r="G352" s="20">
        <v>42765.440057870372</v>
      </c>
      <c r="H352" s="20"/>
      <c r="I352">
        <v>352</v>
      </c>
    </row>
    <row r="353" spans="1:9" ht="63.75" x14ac:dyDescent="0.2">
      <c r="A353" s="2" t="s">
        <v>201</v>
      </c>
      <c r="B353" s="2" t="s">
        <v>37</v>
      </c>
      <c r="C353" s="20">
        <v>42752.577939814815</v>
      </c>
      <c r="D353" s="2" t="s">
        <v>6</v>
      </c>
      <c r="E353" s="2" t="s">
        <v>47</v>
      </c>
      <c r="F353" s="20">
        <v>42753.364942129629</v>
      </c>
      <c r="G353" s="20">
        <v>42765.440057870372</v>
      </c>
      <c r="H353" s="20"/>
      <c r="I353">
        <v>353</v>
      </c>
    </row>
    <row r="354" spans="1:9" ht="25.5" x14ac:dyDescent="0.2">
      <c r="A354" s="2" t="s">
        <v>201</v>
      </c>
      <c r="B354" s="2" t="s">
        <v>37</v>
      </c>
      <c r="C354" s="20">
        <v>42752.577939814815</v>
      </c>
      <c r="D354" s="2" t="s">
        <v>5</v>
      </c>
      <c r="E354" s="2" t="s">
        <v>71</v>
      </c>
      <c r="F354" s="20">
        <v>42754.365405092591</v>
      </c>
      <c r="G354" s="20">
        <v>42765.440057870372</v>
      </c>
      <c r="H354" s="20"/>
      <c r="I354">
        <v>354</v>
      </c>
    </row>
    <row r="355" spans="1:9" ht="63.75" x14ac:dyDescent="0.2">
      <c r="A355" s="2" t="s">
        <v>201</v>
      </c>
      <c r="B355" s="2" t="s">
        <v>37</v>
      </c>
      <c r="C355" s="20">
        <v>42752.577939814815</v>
      </c>
      <c r="D355" s="2" t="s">
        <v>6</v>
      </c>
      <c r="E355" s="2" t="s">
        <v>102</v>
      </c>
      <c r="F355" s="20">
        <v>42758.432245370372</v>
      </c>
      <c r="G355" s="20">
        <v>42765.440057870372</v>
      </c>
      <c r="H355" s="20"/>
      <c r="I355">
        <v>355</v>
      </c>
    </row>
    <row r="356" spans="1:9" ht="38.25" x14ac:dyDescent="0.2">
      <c r="A356" s="2" t="s">
        <v>201</v>
      </c>
      <c r="B356" s="2" t="s">
        <v>37</v>
      </c>
      <c r="C356" s="20">
        <v>42752.577939814815</v>
      </c>
      <c r="D356" s="2" t="s">
        <v>5</v>
      </c>
      <c r="E356" s="2" t="s">
        <v>203</v>
      </c>
      <c r="F356" s="20">
        <v>42774.326990740738</v>
      </c>
      <c r="G356" s="20">
        <v>42765.440057870372</v>
      </c>
      <c r="H356" s="20"/>
      <c r="I356">
        <v>356</v>
      </c>
    </row>
    <row r="357" spans="1:9" ht="38.25" x14ac:dyDescent="0.2">
      <c r="A357" s="2" t="s">
        <v>201</v>
      </c>
      <c r="B357" s="2" t="s">
        <v>37</v>
      </c>
      <c r="C357" s="20">
        <v>42752.577939814815</v>
      </c>
      <c r="D357" s="2" t="s">
        <v>6</v>
      </c>
      <c r="E357" s="2" t="s">
        <v>202</v>
      </c>
      <c r="F357" s="20">
        <v>42774.512858796297</v>
      </c>
      <c r="G357" s="20">
        <v>42765.440057870372</v>
      </c>
      <c r="H357" s="20"/>
      <c r="I357">
        <v>357</v>
      </c>
    </row>
    <row r="358" spans="1:9" ht="25.5" x14ac:dyDescent="0.2">
      <c r="A358" s="2" t="s">
        <v>201</v>
      </c>
      <c r="B358" s="2" t="s">
        <v>37</v>
      </c>
      <c r="C358" s="20">
        <v>42752.577939814815</v>
      </c>
      <c r="D358" s="2" t="s">
        <v>5</v>
      </c>
      <c r="E358" s="2" t="s">
        <v>71</v>
      </c>
      <c r="F358" s="20">
        <v>42776.620011574072</v>
      </c>
      <c r="G358" s="20">
        <v>42765.440057870372</v>
      </c>
      <c r="H358" s="20"/>
      <c r="I358">
        <v>358</v>
      </c>
    </row>
    <row r="359" spans="1:9" ht="25.5" x14ac:dyDescent="0.2">
      <c r="A359" s="2" t="s">
        <v>200</v>
      </c>
      <c r="B359" s="2" t="s">
        <v>37</v>
      </c>
      <c r="C359" s="20">
        <v>42754.36346064815</v>
      </c>
      <c r="D359" s="2" t="s">
        <v>5</v>
      </c>
      <c r="E359" s="2" t="s">
        <v>40</v>
      </c>
      <c r="F359" s="20">
        <v>42754.363483796296</v>
      </c>
      <c r="G359" s="20"/>
      <c r="H359" s="20"/>
      <c r="I359">
        <v>359</v>
      </c>
    </row>
    <row r="360" spans="1:9" ht="25.5" x14ac:dyDescent="0.2">
      <c r="A360" s="2" t="s">
        <v>200</v>
      </c>
      <c r="B360" s="2" t="s">
        <v>37</v>
      </c>
      <c r="C360" s="20">
        <v>42754.36346064815</v>
      </c>
      <c r="D360" s="2" t="s">
        <v>5</v>
      </c>
      <c r="E360" s="2" t="s">
        <v>39</v>
      </c>
      <c r="F360" s="20">
        <v>42754.36383101852</v>
      </c>
      <c r="G360" s="20"/>
      <c r="H360" s="20"/>
      <c r="I360">
        <v>360</v>
      </c>
    </row>
    <row r="361" spans="1:9" ht="25.5" x14ac:dyDescent="0.2">
      <c r="A361" s="2" t="s">
        <v>200</v>
      </c>
      <c r="B361" s="2" t="s">
        <v>37</v>
      </c>
      <c r="C361" s="20">
        <v>42754.36346064815</v>
      </c>
      <c r="D361" s="2" t="s">
        <v>5</v>
      </c>
      <c r="E361" s="2" t="s">
        <v>71</v>
      </c>
      <c r="F361" s="20">
        <v>42754.371365740742</v>
      </c>
      <c r="G361" s="20"/>
      <c r="H361" s="20"/>
      <c r="I361">
        <v>361</v>
      </c>
    </row>
    <row r="362" spans="1:9" ht="63.75" x14ac:dyDescent="0.2">
      <c r="A362" s="2" t="s">
        <v>200</v>
      </c>
      <c r="B362" s="2" t="s">
        <v>37</v>
      </c>
      <c r="C362" s="20">
        <v>42754.36346064815</v>
      </c>
      <c r="D362" s="2" t="s">
        <v>6</v>
      </c>
      <c r="E362" s="2" t="s">
        <v>102</v>
      </c>
      <c r="F362" s="20">
        <v>42758.441342592596</v>
      </c>
      <c r="G362" s="20"/>
      <c r="H362" s="20"/>
      <c r="I362">
        <v>362</v>
      </c>
    </row>
    <row r="363" spans="1:9" ht="25.5" x14ac:dyDescent="0.2">
      <c r="A363" s="2" t="s">
        <v>199</v>
      </c>
      <c r="B363" s="2" t="s">
        <v>83</v>
      </c>
      <c r="C363" s="20">
        <v>42754.574849537035</v>
      </c>
      <c r="D363" s="2" t="s">
        <v>5</v>
      </c>
      <c r="E363" s="2" t="s">
        <v>40</v>
      </c>
      <c r="F363" s="20">
        <v>42754.574907407405</v>
      </c>
      <c r="G363" s="20"/>
      <c r="H363" s="20"/>
      <c r="I363">
        <v>363</v>
      </c>
    </row>
    <row r="364" spans="1:9" ht="25.5" x14ac:dyDescent="0.2">
      <c r="A364" s="2" t="s">
        <v>199</v>
      </c>
      <c r="B364" s="2" t="s">
        <v>83</v>
      </c>
      <c r="C364" s="20">
        <v>42754.574849537035</v>
      </c>
      <c r="D364" s="2" t="s">
        <v>5</v>
      </c>
      <c r="E364" s="2" t="s">
        <v>39</v>
      </c>
      <c r="F364" s="20">
        <v>42754.576678240737</v>
      </c>
      <c r="G364" s="20"/>
      <c r="H364" s="20"/>
      <c r="I364">
        <v>364</v>
      </c>
    </row>
    <row r="365" spans="1:9" ht="25.5" x14ac:dyDescent="0.2">
      <c r="A365" s="2" t="s">
        <v>199</v>
      </c>
      <c r="B365" s="2" t="s">
        <v>83</v>
      </c>
      <c r="C365" s="20">
        <v>42754.574849537035</v>
      </c>
      <c r="D365" s="2" t="s">
        <v>5</v>
      </c>
      <c r="E365" s="2" t="s">
        <v>69</v>
      </c>
      <c r="F365" s="20">
        <v>42754.613252314812</v>
      </c>
      <c r="G365" s="20"/>
      <c r="H365" s="20"/>
      <c r="I365">
        <v>365</v>
      </c>
    </row>
    <row r="366" spans="1:9" ht="63.75" x14ac:dyDescent="0.2">
      <c r="A366" s="2" t="s">
        <v>199</v>
      </c>
      <c r="B366" s="2" t="s">
        <v>83</v>
      </c>
      <c r="C366" s="20">
        <v>42754.574849537035</v>
      </c>
      <c r="D366" s="2" t="s">
        <v>6</v>
      </c>
      <c r="E366" s="2" t="s">
        <v>145</v>
      </c>
      <c r="F366" s="20">
        <v>42754.641840277778</v>
      </c>
      <c r="G366" s="20"/>
      <c r="H366" s="20"/>
      <c r="I366">
        <v>366</v>
      </c>
    </row>
    <row r="367" spans="1:9" ht="25.5" x14ac:dyDescent="0.2">
      <c r="A367" s="2" t="s">
        <v>199</v>
      </c>
      <c r="B367" s="2" t="s">
        <v>83</v>
      </c>
      <c r="C367" s="20">
        <v>42754.574849537035</v>
      </c>
      <c r="D367" s="2" t="s">
        <v>5</v>
      </c>
      <c r="E367" s="2" t="s">
        <v>144</v>
      </c>
      <c r="F367" s="20">
        <v>42754.823472222219</v>
      </c>
      <c r="G367" s="20"/>
      <c r="H367" s="20"/>
      <c r="I367">
        <v>367</v>
      </c>
    </row>
    <row r="368" spans="1:9" ht="51" x14ac:dyDescent="0.2">
      <c r="A368" s="2" t="s">
        <v>199</v>
      </c>
      <c r="B368" s="2" t="s">
        <v>83</v>
      </c>
      <c r="C368" s="20">
        <v>42754.574849537035</v>
      </c>
      <c r="D368" s="2" t="s">
        <v>6</v>
      </c>
      <c r="E368" s="2" t="s">
        <v>198</v>
      </c>
      <c r="F368" s="20">
        <v>42754.823472222219</v>
      </c>
      <c r="G368" s="20"/>
      <c r="H368" s="20"/>
      <c r="I368">
        <v>368</v>
      </c>
    </row>
    <row r="369" spans="1:9" ht="25.5" x14ac:dyDescent="0.2">
      <c r="A369" s="2" t="s">
        <v>197</v>
      </c>
      <c r="B369" s="2" t="s">
        <v>83</v>
      </c>
      <c r="C369" s="20">
        <v>42754.796215277776</v>
      </c>
      <c r="D369" s="2" t="s">
        <v>5</v>
      </c>
      <c r="E369" s="2" t="s">
        <v>40</v>
      </c>
      <c r="F369" s="20">
        <v>42754.796249999999</v>
      </c>
      <c r="G369" s="20">
        <v>42761.541168981479</v>
      </c>
      <c r="H369" s="20"/>
      <c r="I369">
        <v>369</v>
      </c>
    </row>
    <row r="370" spans="1:9" ht="25.5" x14ac:dyDescent="0.2">
      <c r="A370" s="2" t="s">
        <v>197</v>
      </c>
      <c r="B370" s="2" t="s">
        <v>83</v>
      </c>
      <c r="C370" s="20">
        <v>42754.796215277776</v>
      </c>
      <c r="D370" s="2" t="s">
        <v>5</v>
      </c>
      <c r="E370" s="2" t="s">
        <v>39</v>
      </c>
      <c r="F370" s="20">
        <v>42754.7968287037</v>
      </c>
      <c r="G370" s="20">
        <v>42761.541168981479</v>
      </c>
      <c r="H370" s="20"/>
      <c r="I370">
        <v>370</v>
      </c>
    </row>
    <row r="371" spans="1:9" ht="63.75" x14ac:dyDescent="0.2">
      <c r="A371" s="2" t="s">
        <v>197</v>
      </c>
      <c r="B371" s="2" t="s">
        <v>83</v>
      </c>
      <c r="C371" s="20">
        <v>42754.796215277776</v>
      </c>
      <c r="D371" s="2" t="s">
        <v>6</v>
      </c>
      <c r="E371" s="2" t="s">
        <v>41</v>
      </c>
      <c r="F371" s="20">
        <v>42754.7968287037</v>
      </c>
      <c r="G371" s="20">
        <v>42761.541168981479</v>
      </c>
      <c r="H371" s="20"/>
      <c r="I371">
        <v>371</v>
      </c>
    </row>
    <row r="372" spans="1:9" ht="25.5" x14ac:dyDescent="0.2">
      <c r="A372" s="2" t="s">
        <v>197</v>
      </c>
      <c r="B372" s="2" t="s">
        <v>83</v>
      </c>
      <c r="C372" s="20">
        <v>42754.796215277776</v>
      </c>
      <c r="D372" s="2" t="s">
        <v>5</v>
      </c>
      <c r="E372" s="2" t="s">
        <v>69</v>
      </c>
      <c r="F372" s="20">
        <v>42758.693645833337</v>
      </c>
      <c r="G372" s="20">
        <v>42761.541168981479</v>
      </c>
      <c r="H372" s="20"/>
      <c r="I372">
        <v>372</v>
      </c>
    </row>
    <row r="373" spans="1:9" ht="63.75" x14ac:dyDescent="0.2">
      <c r="A373" s="2" t="s">
        <v>197</v>
      </c>
      <c r="B373" s="2" t="s">
        <v>83</v>
      </c>
      <c r="C373" s="20">
        <v>42754.796215277776</v>
      </c>
      <c r="D373" s="2" t="s">
        <v>6</v>
      </c>
      <c r="E373" s="2" t="s">
        <v>145</v>
      </c>
      <c r="F373" s="20">
        <v>42758.698993055557</v>
      </c>
      <c r="G373" s="20">
        <v>42761.541168981479</v>
      </c>
      <c r="H373" s="20"/>
      <c r="I373">
        <v>373</v>
      </c>
    </row>
    <row r="374" spans="1:9" ht="63.75" x14ac:dyDescent="0.2">
      <c r="A374" s="2" t="s">
        <v>197</v>
      </c>
      <c r="B374" s="2" t="s">
        <v>83</v>
      </c>
      <c r="C374" s="20">
        <v>42754.796215277776</v>
      </c>
      <c r="D374" s="2" t="s">
        <v>6</v>
      </c>
      <c r="E374" s="2" t="s">
        <v>67</v>
      </c>
      <c r="F374" s="20">
        <v>42776.614525462966</v>
      </c>
      <c r="G374" s="20">
        <v>42761.541168981479</v>
      </c>
      <c r="H374" s="20"/>
      <c r="I374">
        <v>374</v>
      </c>
    </row>
    <row r="375" spans="1:9" ht="25.5" x14ac:dyDescent="0.2">
      <c r="A375" s="2" t="s">
        <v>196</v>
      </c>
      <c r="B375" s="2" t="s">
        <v>83</v>
      </c>
      <c r="C375" s="20">
        <v>42758.597615740742</v>
      </c>
      <c r="D375" s="2" t="s">
        <v>5</v>
      </c>
      <c r="E375" s="2" t="s">
        <v>39</v>
      </c>
      <c r="F375" s="20">
        <v>42758.599791666667</v>
      </c>
      <c r="G375" s="20"/>
      <c r="H375" s="20"/>
      <c r="I375">
        <v>375</v>
      </c>
    </row>
    <row r="376" spans="1:9" ht="51" x14ac:dyDescent="0.2">
      <c r="A376" s="2" t="s">
        <v>196</v>
      </c>
      <c r="B376" s="2" t="s">
        <v>83</v>
      </c>
      <c r="C376" s="20">
        <v>42758.597615740742</v>
      </c>
      <c r="D376" s="2" t="s">
        <v>6</v>
      </c>
      <c r="E376" s="2" t="s">
        <v>193</v>
      </c>
      <c r="F376" s="20">
        <v>42758.654143518521</v>
      </c>
      <c r="G376" s="20"/>
      <c r="H376" s="20"/>
      <c r="I376">
        <v>376</v>
      </c>
    </row>
    <row r="377" spans="1:9" ht="25.5" x14ac:dyDescent="0.2">
      <c r="A377" s="2" t="s">
        <v>196</v>
      </c>
      <c r="B377" s="2" t="s">
        <v>83</v>
      </c>
      <c r="C377" s="20">
        <v>42758.597615740742</v>
      </c>
      <c r="D377" s="2" t="s">
        <v>5</v>
      </c>
      <c r="E377" s="2" t="s">
        <v>71</v>
      </c>
      <c r="F377" s="20">
        <v>42758.654178240744</v>
      </c>
      <c r="G377" s="20"/>
      <c r="H377" s="20"/>
      <c r="I377">
        <v>377</v>
      </c>
    </row>
    <row r="378" spans="1:9" ht="25.5" x14ac:dyDescent="0.2">
      <c r="A378" s="2" t="s">
        <v>195</v>
      </c>
      <c r="B378" s="2" t="s">
        <v>83</v>
      </c>
      <c r="C378" s="20">
        <v>42758.638414351852</v>
      </c>
      <c r="D378" s="2" t="s">
        <v>5</v>
      </c>
      <c r="E378" s="2" t="s">
        <v>39</v>
      </c>
      <c r="F378" s="20">
        <v>42758.642812500002</v>
      </c>
      <c r="G378" s="20"/>
      <c r="H378" s="20"/>
      <c r="I378">
        <v>378</v>
      </c>
    </row>
    <row r="379" spans="1:9" ht="25.5" x14ac:dyDescent="0.2">
      <c r="A379" s="2" t="s">
        <v>195</v>
      </c>
      <c r="B379" s="2" t="s">
        <v>83</v>
      </c>
      <c r="C379" s="20">
        <v>42758.638414351852</v>
      </c>
      <c r="D379" s="2" t="s">
        <v>5</v>
      </c>
      <c r="E379" s="2" t="s">
        <v>71</v>
      </c>
      <c r="F379" s="20">
        <v>42758.650266203702</v>
      </c>
      <c r="G379" s="20"/>
      <c r="H379" s="20"/>
      <c r="I379">
        <v>379</v>
      </c>
    </row>
    <row r="380" spans="1:9" ht="51" x14ac:dyDescent="0.2">
      <c r="A380" s="2" t="s">
        <v>195</v>
      </c>
      <c r="B380" s="2" t="s">
        <v>83</v>
      </c>
      <c r="C380" s="20">
        <v>42758.638414351852</v>
      </c>
      <c r="D380" s="2" t="s">
        <v>6</v>
      </c>
      <c r="E380" s="2" t="s">
        <v>193</v>
      </c>
      <c r="F380" s="20">
        <v>42758.650266203702</v>
      </c>
      <c r="G380" s="20"/>
      <c r="H380" s="20"/>
      <c r="I380">
        <v>380</v>
      </c>
    </row>
    <row r="381" spans="1:9" ht="25.5" x14ac:dyDescent="0.2">
      <c r="A381" s="2" t="s">
        <v>194</v>
      </c>
      <c r="B381" s="2" t="s">
        <v>83</v>
      </c>
      <c r="C381" s="20">
        <v>42758.657222222224</v>
      </c>
      <c r="D381" s="2" t="s">
        <v>5</v>
      </c>
      <c r="E381" s="2" t="s">
        <v>39</v>
      </c>
      <c r="F381" s="20">
        <v>42758.658599537041</v>
      </c>
      <c r="G381" s="20"/>
      <c r="H381" s="20"/>
      <c r="I381">
        <v>381</v>
      </c>
    </row>
    <row r="382" spans="1:9" ht="25.5" x14ac:dyDescent="0.2">
      <c r="A382" s="2" t="s">
        <v>194</v>
      </c>
      <c r="B382" s="2" t="s">
        <v>83</v>
      </c>
      <c r="C382" s="20">
        <v>42758.657222222224</v>
      </c>
      <c r="D382" s="2" t="s">
        <v>5</v>
      </c>
      <c r="E382" s="2" t="s">
        <v>71</v>
      </c>
      <c r="F382" s="20">
        <v>42758.659409722219</v>
      </c>
      <c r="G382" s="20"/>
      <c r="H382" s="20"/>
      <c r="I382">
        <v>382</v>
      </c>
    </row>
    <row r="383" spans="1:9" ht="51" x14ac:dyDescent="0.2">
      <c r="A383" s="2" t="s">
        <v>194</v>
      </c>
      <c r="B383" s="2" t="s">
        <v>83</v>
      </c>
      <c r="C383" s="20">
        <v>42758.657222222224</v>
      </c>
      <c r="D383" s="2" t="s">
        <v>6</v>
      </c>
      <c r="E383" s="2" t="s">
        <v>193</v>
      </c>
      <c r="F383" s="20">
        <v>42758.659409722219</v>
      </c>
      <c r="G383" s="20"/>
      <c r="H383" s="20"/>
      <c r="I383">
        <v>383</v>
      </c>
    </row>
    <row r="384" spans="1:9" ht="25.5" x14ac:dyDescent="0.2">
      <c r="A384" s="2" t="s">
        <v>192</v>
      </c>
      <c r="B384" s="2" t="s">
        <v>37</v>
      </c>
      <c r="C384" s="20">
        <v>42758.662361111114</v>
      </c>
      <c r="D384" s="2" t="s">
        <v>5</v>
      </c>
      <c r="E384" s="2" t="s">
        <v>40</v>
      </c>
      <c r="F384" s="20">
        <v>42758.662418981483</v>
      </c>
      <c r="G384" s="20"/>
      <c r="H384" s="20"/>
      <c r="I384">
        <v>384</v>
      </c>
    </row>
    <row r="385" spans="1:9" ht="25.5" x14ac:dyDescent="0.2">
      <c r="A385" s="2" t="s">
        <v>192</v>
      </c>
      <c r="B385" s="2" t="s">
        <v>37</v>
      </c>
      <c r="C385" s="20">
        <v>42758.662361111114</v>
      </c>
      <c r="D385" s="2" t="s">
        <v>5</v>
      </c>
      <c r="E385" s="2" t="s">
        <v>39</v>
      </c>
      <c r="F385" s="20">
        <v>42758.672060185185</v>
      </c>
      <c r="G385" s="20"/>
      <c r="H385" s="20"/>
      <c r="I385">
        <v>385</v>
      </c>
    </row>
    <row r="386" spans="1:9" ht="63.75" x14ac:dyDescent="0.2">
      <c r="A386" s="2" t="s">
        <v>192</v>
      </c>
      <c r="B386" s="2" t="s">
        <v>37</v>
      </c>
      <c r="C386" s="20">
        <v>42758.662361111114</v>
      </c>
      <c r="D386" s="2" t="s">
        <v>6</v>
      </c>
      <c r="E386" s="2" t="s">
        <v>43</v>
      </c>
      <c r="F386" s="20">
        <v>42758.672060185185</v>
      </c>
      <c r="G386" s="20"/>
      <c r="H386" s="20"/>
      <c r="I386">
        <v>386</v>
      </c>
    </row>
    <row r="387" spans="1:9" ht="63.75" x14ac:dyDescent="0.2">
      <c r="A387" s="2" t="s">
        <v>192</v>
      </c>
      <c r="B387" s="2" t="s">
        <v>37</v>
      </c>
      <c r="C387" s="20">
        <v>42758.662361111114</v>
      </c>
      <c r="D387" s="2" t="s">
        <v>6</v>
      </c>
      <c r="E387" s="2" t="s">
        <v>47</v>
      </c>
      <c r="F387" s="20">
        <v>42759.446203703701</v>
      </c>
      <c r="G387" s="20"/>
      <c r="H387" s="20"/>
      <c r="I387">
        <v>387</v>
      </c>
    </row>
    <row r="388" spans="1:9" ht="25.5" x14ac:dyDescent="0.2">
      <c r="A388" s="2" t="s">
        <v>192</v>
      </c>
      <c r="B388" s="2" t="s">
        <v>37</v>
      </c>
      <c r="C388" s="20">
        <v>42758.662361111114</v>
      </c>
      <c r="D388" s="2" t="s">
        <v>5</v>
      </c>
      <c r="E388" s="2" t="s">
        <v>69</v>
      </c>
      <c r="F388" s="20">
        <v>42759.459710648145</v>
      </c>
      <c r="G388" s="20"/>
      <c r="H388" s="20"/>
      <c r="I388">
        <v>388</v>
      </c>
    </row>
    <row r="389" spans="1:9" ht="63.75" x14ac:dyDescent="0.2">
      <c r="A389" s="2" t="s">
        <v>192</v>
      </c>
      <c r="B389" s="2" t="s">
        <v>37</v>
      </c>
      <c r="C389" s="20">
        <v>42758.662361111114</v>
      </c>
      <c r="D389" s="2" t="s">
        <v>6</v>
      </c>
      <c r="E389" s="2" t="s">
        <v>67</v>
      </c>
      <c r="F389" s="20">
        <v>42759.491678240738</v>
      </c>
      <c r="G389" s="20"/>
      <c r="H389" s="20"/>
      <c r="I389">
        <v>389</v>
      </c>
    </row>
    <row r="390" spans="1:9" ht="25.5" x14ac:dyDescent="0.2">
      <c r="A390" s="2" t="s">
        <v>191</v>
      </c>
      <c r="B390" s="2" t="s">
        <v>37</v>
      </c>
      <c r="C390" s="20">
        <v>42758.690960648149</v>
      </c>
      <c r="D390" s="2" t="s">
        <v>5</v>
      </c>
      <c r="E390" s="2" t="s">
        <v>40</v>
      </c>
      <c r="F390" s="20">
        <v>42758.690972222219</v>
      </c>
      <c r="G390" s="20"/>
      <c r="H390" s="20"/>
      <c r="I390">
        <v>390</v>
      </c>
    </row>
    <row r="391" spans="1:9" ht="25.5" x14ac:dyDescent="0.2">
      <c r="A391" s="2" t="s">
        <v>191</v>
      </c>
      <c r="B391" s="2" t="s">
        <v>37</v>
      </c>
      <c r="C391" s="20">
        <v>42758.690960648149</v>
      </c>
      <c r="D391" s="2" t="s">
        <v>5</v>
      </c>
      <c r="E391" s="2" t="s">
        <v>39</v>
      </c>
      <c r="F391" s="20">
        <v>42758.694456018522</v>
      </c>
      <c r="G391" s="20"/>
      <c r="H391" s="20"/>
      <c r="I391">
        <v>391</v>
      </c>
    </row>
    <row r="392" spans="1:9" ht="63.75" x14ac:dyDescent="0.2">
      <c r="A392" s="2" t="s">
        <v>191</v>
      </c>
      <c r="B392" s="2" t="s">
        <v>37</v>
      </c>
      <c r="C392" s="20">
        <v>42758.690960648149</v>
      </c>
      <c r="D392" s="2" t="s">
        <v>6</v>
      </c>
      <c r="E392" s="2" t="s">
        <v>41</v>
      </c>
      <c r="F392" s="20">
        <v>42758.70821759259</v>
      </c>
      <c r="G392" s="20"/>
      <c r="H392" s="20"/>
      <c r="I392">
        <v>392</v>
      </c>
    </row>
    <row r="393" spans="1:9" ht="25.5" x14ac:dyDescent="0.2">
      <c r="A393" s="2" t="s">
        <v>191</v>
      </c>
      <c r="B393" s="2" t="s">
        <v>37</v>
      </c>
      <c r="C393" s="20">
        <v>42758.690960648149</v>
      </c>
      <c r="D393" s="2" t="s">
        <v>5</v>
      </c>
      <c r="E393" s="2" t="s">
        <v>135</v>
      </c>
      <c r="F393" s="20">
        <v>42761.442175925928</v>
      </c>
      <c r="G393" s="20"/>
      <c r="H393" s="20"/>
      <c r="I393">
        <v>393</v>
      </c>
    </row>
    <row r="394" spans="1:9" ht="25.5" x14ac:dyDescent="0.2">
      <c r="A394" s="2" t="s">
        <v>190</v>
      </c>
      <c r="B394" s="2" t="s">
        <v>37</v>
      </c>
      <c r="C394" s="20">
        <v>42758.713182870371</v>
      </c>
      <c r="D394" s="2" t="s">
        <v>5</v>
      </c>
      <c r="E394" s="2" t="s">
        <v>40</v>
      </c>
      <c r="F394" s="20">
        <v>42758.713194444441</v>
      </c>
      <c r="G394" s="20"/>
      <c r="H394" s="20"/>
      <c r="I394">
        <v>394</v>
      </c>
    </row>
    <row r="395" spans="1:9" ht="25.5" x14ac:dyDescent="0.2">
      <c r="A395" s="2" t="s">
        <v>190</v>
      </c>
      <c r="B395" s="2" t="s">
        <v>37</v>
      </c>
      <c r="C395" s="20">
        <v>42758.713182870371</v>
      </c>
      <c r="D395" s="2" t="s">
        <v>5</v>
      </c>
      <c r="E395" s="2" t="s">
        <v>71</v>
      </c>
      <c r="F395" s="20">
        <v>42758.726446759261</v>
      </c>
      <c r="G395" s="20"/>
      <c r="H395" s="20"/>
      <c r="I395">
        <v>395</v>
      </c>
    </row>
    <row r="396" spans="1:9" ht="63.75" x14ac:dyDescent="0.2">
      <c r="A396" s="2" t="s">
        <v>190</v>
      </c>
      <c r="B396" s="2" t="s">
        <v>37</v>
      </c>
      <c r="C396" s="20">
        <v>42758.713182870371</v>
      </c>
      <c r="D396" s="2" t="s">
        <v>6</v>
      </c>
      <c r="E396" s="2" t="s">
        <v>102</v>
      </c>
      <c r="F396" s="20">
        <v>42759.458923611113</v>
      </c>
      <c r="G396" s="20"/>
      <c r="H396" s="20"/>
      <c r="I396">
        <v>396</v>
      </c>
    </row>
    <row r="397" spans="1:9" ht="25.5" x14ac:dyDescent="0.2">
      <c r="A397" s="2" t="s">
        <v>189</v>
      </c>
      <c r="B397" s="2" t="s">
        <v>83</v>
      </c>
      <c r="C397" s="20">
        <v>42758.725856481484</v>
      </c>
      <c r="D397" s="2" t="s">
        <v>5</v>
      </c>
      <c r="E397" s="2" t="s">
        <v>40</v>
      </c>
      <c r="F397" s="20">
        <v>42758.72587962963</v>
      </c>
      <c r="G397" s="20"/>
      <c r="H397" s="20"/>
      <c r="I397">
        <v>397</v>
      </c>
    </row>
    <row r="398" spans="1:9" ht="25.5" x14ac:dyDescent="0.2">
      <c r="A398" s="2" t="s">
        <v>189</v>
      </c>
      <c r="B398" s="2" t="s">
        <v>83</v>
      </c>
      <c r="C398" s="20">
        <v>42758.725856481484</v>
      </c>
      <c r="D398" s="2" t="s">
        <v>5</v>
      </c>
      <c r="E398" s="2" t="s">
        <v>39</v>
      </c>
      <c r="F398" s="20">
        <v>42758.727905092594</v>
      </c>
      <c r="G398" s="20"/>
      <c r="H398" s="20"/>
      <c r="I398">
        <v>398</v>
      </c>
    </row>
    <row r="399" spans="1:9" ht="63.75" x14ac:dyDescent="0.2">
      <c r="A399" s="2" t="s">
        <v>189</v>
      </c>
      <c r="B399" s="2" t="s">
        <v>83</v>
      </c>
      <c r="C399" s="20">
        <v>42758.725856481484</v>
      </c>
      <c r="D399" s="2" t="s">
        <v>6</v>
      </c>
      <c r="E399" s="2" t="s">
        <v>43</v>
      </c>
      <c r="F399" s="20">
        <v>42758.727905092594</v>
      </c>
      <c r="G399" s="20"/>
      <c r="H399" s="20"/>
      <c r="I399">
        <v>399</v>
      </c>
    </row>
    <row r="400" spans="1:9" ht="25.5" x14ac:dyDescent="0.2">
      <c r="A400" s="2" t="s">
        <v>189</v>
      </c>
      <c r="B400" s="2" t="s">
        <v>83</v>
      </c>
      <c r="C400" s="20">
        <v>42758.725856481484</v>
      </c>
      <c r="D400" s="2" t="s">
        <v>5</v>
      </c>
      <c r="E400" s="2" t="s">
        <v>69</v>
      </c>
      <c r="F400" s="20">
        <v>42758.73646990741</v>
      </c>
      <c r="G400" s="20"/>
      <c r="H400" s="20"/>
      <c r="I400">
        <v>400</v>
      </c>
    </row>
    <row r="401" spans="1:9" ht="63.75" x14ac:dyDescent="0.2">
      <c r="A401" s="2" t="s">
        <v>189</v>
      </c>
      <c r="B401" s="2" t="s">
        <v>83</v>
      </c>
      <c r="C401" s="20">
        <v>42758.725856481484</v>
      </c>
      <c r="D401" s="2" t="s">
        <v>6</v>
      </c>
      <c r="E401" s="2" t="s">
        <v>145</v>
      </c>
      <c r="F401" s="20">
        <v>42758.80196759259</v>
      </c>
      <c r="G401" s="20"/>
      <c r="H401" s="20"/>
      <c r="I401">
        <v>401</v>
      </c>
    </row>
    <row r="402" spans="1:9" ht="63.75" x14ac:dyDescent="0.2">
      <c r="A402" s="2" t="s">
        <v>189</v>
      </c>
      <c r="B402" s="2" t="s">
        <v>83</v>
      </c>
      <c r="C402" s="20">
        <v>42758.725856481484</v>
      </c>
      <c r="D402" s="2" t="s">
        <v>6</v>
      </c>
      <c r="E402" s="2" t="s">
        <v>67</v>
      </c>
      <c r="F402" s="20">
        <v>42776.627199074072</v>
      </c>
      <c r="G402" s="20"/>
      <c r="H402" s="20"/>
      <c r="I402">
        <v>402</v>
      </c>
    </row>
    <row r="403" spans="1:9" ht="25.5" x14ac:dyDescent="0.2">
      <c r="A403" s="2" t="s">
        <v>188</v>
      </c>
      <c r="B403" s="2" t="s">
        <v>37</v>
      </c>
      <c r="C403" s="20">
        <v>42759.428796296299</v>
      </c>
      <c r="D403" s="2" t="s">
        <v>5</v>
      </c>
      <c r="E403" s="2" t="s">
        <v>40</v>
      </c>
      <c r="F403" s="20">
        <v>42759.428842592592</v>
      </c>
      <c r="G403" s="20"/>
      <c r="H403" s="20"/>
      <c r="I403">
        <v>403</v>
      </c>
    </row>
    <row r="404" spans="1:9" ht="25.5" x14ac:dyDescent="0.2">
      <c r="A404" s="2" t="s">
        <v>188</v>
      </c>
      <c r="B404" s="2" t="s">
        <v>37</v>
      </c>
      <c r="C404" s="20">
        <v>42759.428796296299</v>
      </c>
      <c r="D404" s="2" t="s">
        <v>5</v>
      </c>
      <c r="E404" s="2" t="s">
        <v>39</v>
      </c>
      <c r="F404" s="20">
        <v>42759.429305555554</v>
      </c>
      <c r="G404" s="20"/>
      <c r="H404" s="20"/>
      <c r="I404">
        <v>404</v>
      </c>
    </row>
    <row r="405" spans="1:9" ht="25.5" x14ac:dyDescent="0.2">
      <c r="A405" s="2" t="s">
        <v>188</v>
      </c>
      <c r="B405" s="2" t="s">
        <v>37</v>
      </c>
      <c r="C405" s="20">
        <v>42759.428796296299</v>
      </c>
      <c r="D405" s="2" t="s">
        <v>5</v>
      </c>
      <c r="E405" s="2" t="s">
        <v>71</v>
      </c>
      <c r="F405" s="20">
        <v>42759.440393518518</v>
      </c>
      <c r="G405" s="20"/>
      <c r="H405" s="20"/>
      <c r="I405">
        <v>405</v>
      </c>
    </row>
    <row r="406" spans="1:9" ht="63.75" x14ac:dyDescent="0.2">
      <c r="A406" s="2" t="s">
        <v>188</v>
      </c>
      <c r="B406" s="2" t="s">
        <v>37</v>
      </c>
      <c r="C406" s="20">
        <v>42759.428796296299</v>
      </c>
      <c r="D406" s="2" t="s">
        <v>6</v>
      </c>
      <c r="E406" s="2" t="s">
        <v>102</v>
      </c>
      <c r="F406" s="20">
        <v>42761.656099537038</v>
      </c>
      <c r="G406" s="20"/>
      <c r="H406" s="20"/>
      <c r="I406">
        <v>406</v>
      </c>
    </row>
    <row r="407" spans="1:9" ht="25.5" x14ac:dyDescent="0.2">
      <c r="A407" s="2" t="s">
        <v>187</v>
      </c>
      <c r="B407" s="2" t="s">
        <v>83</v>
      </c>
      <c r="C407" s="20">
        <v>42759.545798611114</v>
      </c>
      <c r="D407" s="2" t="s">
        <v>5</v>
      </c>
      <c r="E407" s="2" t="s">
        <v>40</v>
      </c>
      <c r="F407" s="20">
        <v>42759.545856481483</v>
      </c>
      <c r="G407" s="20"/>
      <c r="H407" s="20"/>
      <c r="I407">
        <v>407</v>
      </c>
    </row>
    <row r="408" spans="1:9" ht="25.5" x14ac:dyDescent="0.2">
      <c r="A408" s="2" t="s">
        <v>187</v>
      </c>
      <c r="B408" s="2" t="s">
        <v>83</v>
      </c>
      <c r="C408" s="20">
        <v>42759.545798611114</v>
      </c>
      <c r="D408" s="2" t="s">
        <v>5</v>
      </c>
      <c r="E408" s="2" t="s">
        <v>39</v>
      </c>
      <c r="F408" s="20">
        <v>42759.546076388891</v>
      </c>
      <c r="G408" s="20"/>
      <c r="H408" s="20"/>
      <c r="I408">
        <v>408</v>
      </c>
    </row>
    <row r="409" spans="1:9" ht="51" x14ac:dyDescent="0.2">
      <c r="A409" s="2" t="s">
        <v>187</v>
      </c>
      <c r="B409" s="2" t="s">
        <v>83</v>
      </c>
      <c r="C409" s="20">
        <v>42759.545798611114</v>
      </c>
      <c r="D409" s="2" t="s">
        <v>6</v>
      </c>
      <c r="E409" s="2" t="s">
        <v>77</v>
      </c>
      <c r="F409" s="20">
        <v>42759.583703703705</v>
      </c>
      <c r="G409" s="20"/>
      <c r="H409" s="20"/>
      <c r="I409">
        <v>409</v>
      </c>
    </row>
    <row r="410" spans="1:9" ht="25.5" x14ac:dyDescent="0.2">
      <c r="A410" s="2" t="s">
        <v>187</v>
      </c>
      <c r="B410" s="2" t="s">
        <v>83</v>
      </c>
      <c r="C410" s="20">
        <v>42759.545798611114</v>
      </c>
      <c r="D410" s="2" t="s">
        <v>5</v>
      </c>
      <c r="E410" s="2" t="s">
        <v>71</v>
      </c>
      <c r="F410" s="20">
        <v>42760.554328703707</v>
      </c>
      <c r="G410" s="20"/>
      <c r="H410" s="20"/>
      <c r="I410">
        <v>410</v>
      </c>
    </row>
    <row r="411" spans="1:9" ht="63.75" x14ac:dyDescent="0.2">
      <c r="A411" s="2" t="s">
        <v>187</v>
      </c>
      <c r="B411" s="2" t="s">
        <v>83</v>
      </c>
      <c r="C411" s="20">
        <v>42759.545798611114</v>
      </c>
      <c r="D411" s="2" t="s">
        <v>6</v>
      </c>
      <c r="E411" s="2" t="s">
        <v>102</v>
      </c>
      <c r="F411" s="20">
        <v>42761.661319444444</v>
      </c>
      <c r="G411" s="20"/>
      <c r="H411" s="20"/>
      <c r="I411">
        <v>411</v>
      </c>
    </row>
    <row r="412" spans="1:9" ht="25.5" x14ac:dyDescent="0.2">
      <c r="A412" s="2" t="s">
        <v>186</v>
      </c>
      <c r="B412" s="2" t="s">
        <v>37</v>
      </c>
      <c r="C412" s="20">
        <v>42759.594641203701</v>
      </c>
      <c r="D412" s="2" t="s">
        <v>5</v>
      </c>
      <c r="E412" s="2" t="s">
        <v>40</v>
      </c>
      <c r="F412" s="20">
        <v>42759.594722222224</v>
      </c>
      <c r="G412" s="20">
        <v>42761.662546296298</v>
      </c>
      <c r="H412" s="20"/>
      <c r="I412">
        <v>412</v>
      </c>
    </row>
    <row r="413" spans="1:9" ht="25.5" x14ac:dyDescent="0.2">
      <c r="A413" s="2" t="s">
        <v>186</v>
      </c>
      <c r="B413" s="2" t="s">
        <v>37</v>
      </c>
      <c r="C413" s="20">
        <v>42759.594641203701</v>
      </c>
      <c r="D413" s="2" t="s">
        <v>5</v>
      </c>
      <c r="E413" s="2" t="s">
        <v>39</v>
      </c>
      <c r="F413" s="20">
        <v>42759.596597222226</v>
      </c>
      <c r="G413" s="20">
        <v>42761.662546296298</v>
      </c>
      <c r="H413" s="20"/>
      <c r="I413">
        <v>413</v>
      </c>
    </row>
    <row r="414" spans="1:9" ht="63.75" x14ac:dyDescent="0.2">
      <c r="A414" s="2" t="s">
        <v>186</v>
      </c>
      <c r="B414" s="2" t="s">
        <v>37</v>
      </c>
      <c r="C414" s="20">
        <v>42759.594641203701</v>
      </c>
      <c r="D414" s="2" t="s">
        <v>6</v>
      </c>
      <c r="E414" s="2" t="s">
        <v>36</v>
      </c>
      <c r="F414" s="20">
        <v>42759.607187499998</v>
      </c>
      <c r="G414" s="20">
        <v>42761.662546296298</v>
      </c>
      <c r="H414" s="20"/>
      <c r="I414">
        <v>414</v>
      </c>
    </row>
    <row r="415" spans="1:9" ht="25.5" x14ac:dyDescent="0.2">
      <c r="A415" s="2" t="s">
        <v>186</v>
      </c>
      <c r="B415" s="2" t="s">
        <v>37</v>
      </c>
      <c r="C415" s="20">
        <v>42759.594641203701</v>
      </c>
      <c r="D415" s="2" t="s">
        <v>5</v>
      </c>
      <c r="E415" s="2" t="s">
        <v>71</v>
      </c>
      <c r="F415" s="20">
        <v>42761.457719907405</v>
      </c>
      <c r="G415" s="20">
        <v>42761.662546296298</v>
      </c>
      <c r="H415" s="20"/>
      <c r="I415">
        <v>415</v>
      </c>
    </row>
    <row r="416" spans="1:9" ht="63.75" x14ac:dyDescent="0.2">
      <c r="A416" s="2" t="s">
        <v>186</v>
      </c>
      <c r="B416" s="2" t="s">
        <v>37</v>
      </c>
      <c r="C416" s="20">
        <v>42759.594641203701</v>
      </c>
      <c r="D416" s="2" t="s">
        <v>6</v>
      </c>
      <c r="E416" s="2" t="s">
        <v>102</v>
      </c>
      <c r="F416" s="20">
        <v>42761.662557870368</v>
      </c>
      <c r="G416" s="20">
        <v>42761.662546296298</v>
      </c>
      <c r="H416" s="20"/>
      <c r="I416">
        <v>416</v>
      </c>
    </row>
    <row r="417" spans="1:9" ht="25.5" x14ac:dyDescent="0.2">
      <c r="A417" s="2" t="s">
        <v>185</v>
      </c>
      <c r="B417" s="2" t="s">
        <v>83</v>
      </c>
      <c r="C417" s="20">
        <v>42760.494085648148</v>
      </c>
      <c r="D417" s="2" t="s">
        <v>5</v>
      </c>
      <c r="E417" s="2" t="s">
        <v>40</v>
      </c>
      <c r="F417" s="20">
        <v>42760.494131944448</v>
      </c>
      <c r="G417" s="20"/>
      <c r="H417" s="20"/>
      <c r="I417">
        <v>417</v>
      </c>
    </row>
    <row r="418" spans="1:9" ht="25.5" x14ac:dyDescent="0.2">
      <c r="A418" s="2" t="s">
        <v>185</v>
      </c>
      <c r="B418" s="2" t="s">
        <v>83</v>
      </c>
      <c r="C418" s="20">
        <v>42760.494085648148</v>
      </c>
      <c r="D418" s="2" t="s">
        <v>5</v>
      </c>
      <c r="E418" s="2" t="s">
        <v>69</v>
      </c>
      <c r="F418" s="20">
        <v>42760.495347222219</v>
      </c>
      <c r="G418" s="20"/>
      <c r="H418" s="20"/>
      <c r="I418">
        <v>418</v>
      </c>
    </row>
    <row r="419" spans="1:9" ht="63.75" x14ac:dyDescent="0.2">
      <c r="A419" s="2" t="s">
        <v>185</v>
      </c>
      <c r="B419" s="2" t="s">
        <v>83</v>
      </c>
      <c r="C419" s="20">
        <v>42760.494085648148</v>
      </c>
      <c r="D419" s="2" t="s">
        <v>6</v>
      </c>
      <c r="E419" s="2" t="s">
        <v>145</v>
      </c>
      <c r="F419" s="20">
        <v>42760.533854166664</v>
      </c>
      <c r="G419" s="20"/>
      <c r="H419" s="20"/>
      <c r="I419">
        <v>419</v>
      </c>
    </row>
    <row r="420" spans="1:9" ht="25.5" x14ac:dyDescent="0.2">
      <c r="A420" s="2" t="s">
        <v>185</v>
      </c>
      <c r="B420" s="2" t="s">
        <v>83</v>
      </c>
      <c r="C420" s="20">
        <v>42760.494085648148</v>
      </c>
      <c r="D420" s="2" t="s">
        <v>5</v>
      </c>
      <c r="E420" s="2" t="s">
        <v>39</v>
      </c>
      <c r="F420" s="20">
        <v>42760.554224537038</v>
      </c>
      <c r="G420" s="20"/>
      <c r="H420" s="20"/>
      <c r="I420">
        <v>420</v>
      </c>
    </row>
    <row r="421" spans="1:9" ht="25.5" x14ac:dyDescent="0.2">
      <c r="A421" s="2" t="s">
        <v>185</v>
      </c>
      <c r="B421" s="2" t="s">
        <v>83</v>
      </c>
      <c r="C421" s="20">
        <v>42760.494085648148</v>
      </c>
      <c r="D421" s="2" t="s">
        <v>5</v>
      </c>
      <c r="E421" s="2" t="s">
        <v>135</v>
      </c>
      <c r="F421" s="20">
        <v>42760.564375000002</v>
      </c>
      <c r="G421" s="20"/>
      <c r="H421" s="20"/>
      <c r="I421">
        <v>421</v>
      </c>
    </row>
    <row r="422" spans="1:9" ht="25.5" x14ac:dyDescent="0.2">
      <c r="A422" s="2" t="s">
        <v>184</v>
      </c>
      <c r="B422" s="2" t="s">
        <v>83</v>
      </c>
      <c r="C422" s="20">
        <v>42761.373159722221</v>
      </c>
      <c r="D422" s="2" t="s">
        <v>5</v>
      </c>
      <c r="E422" s="2" t="s">
        <v>40</v>
      </c>
      <c r="F422" s="20">
        <v>42761.373206018521</v>
      </c>
      <c r="G422" s="20"/>
      <c r="H422" s="20"/>
      <c r="I422">
        <v>422</v>
      </c>
    </row>
    <row r="423" spans="1:9" ht="25.5" x14ac:dyDescent="0.2">
      <c r="A423" s="2" t="s">
        <v>184</v>
      </c>
      <c r="B423" s="2" t="s">
        <v>83</v>
      </c>
      <c r="C423" s="20">
        <v>42761.373159722221</v>
      </c>
      <c r="D423" s="2" t="s">
        <v>5</v>
      </c>
      <c r="E423" s="2" t="s">
        <v>39</v>
      </c>
      <c r="F423" s="20">
        <v>42761.373668981483</v>
      </c>
      <c r="G423" s="20"/>
      <c r="H423" s="20"/>
      <c r="I423">
        <v>423</v>
      </c>
    </row>
    <row r="424" spans="1:9" ht="25.5" x14ac:dyDescent="0.2">
      <c r="A424" s="2" t="s">
        <v>184</v>
      </c>
      <c r="B424" s="2" t="s">
        <v>83</v>
      </c>
      <c r="C424" s="20">
        <v>42761.373159722221</v>
      </c>
      <c r="D424" s="2" t="s">
        <v>5</v>
      </c>
      <c r="E424" s="2" t="s">
        <v>71</v>
      </c>
      <c r="F424" s="20">
        <v>42761.388067129628</v>
      </c>
      <c r="G424" s="20"/>
      <c r="H424" s="20"/>
      <c r="I424">
        <v>424</v>
      </c>
    </row>
    <row r="425" spans="1:9" ht="63.75" x14ac:dyDescent="0.2">
      <c r="A425" s="2" t="s">
        <v>184</v>
      </c>
      <c r="B425" s="2" t="s">
        <v>83</v>
      </c>
      <c r="C425" s="20">
        <v>42761.373159722221</v>
      </c>
      <c r="D425" s="2" t="s">
        <v>6</v>
      </c>
      <c r="E425" s="2" t="s">
        <v>102</v>
      </c>
      <c r="F425" s="20">
        <v>42761.669583333336</v>
      </c>
      <c r="G425" s="20"/>
      <c r="H425" s="20"/>
      <c r="I425">
        <v>425</v>
      </c>
    </row>
    <row r="426" spans="1:9" ht="25.5" x14ac:dyDescent="0.2">
      <c r="A426" s="2" t="s">
        <v>184</v>
      </c>
      <c r="B426" s="2" t="s">
        <v>83</v>
      </c>
      <c r="C426" s="20">
        <v>42761.373159722221</v>
      </c>
      <c r="D426" s="2" t="s">
        <v>5</v>
      </c>
      <c r="E426" s="2" t="s">
        <v>144</v>
      </c>
      <c r="F426" s="20">
        <v>42765.562418981484</v>
      </c>
      <c r="G426" s="20"/>
      <c r="H426" s="20"/>
      <c r="I426">
        <v>426</v>
      </c>
    </row>
    <row r="427" spans="1:9" ht="63.75" x14ac:dyDescent="0.2">
      <c r="A427" s="2" t="s">
        <v>184</v>
      </c>
      <c r="B427" s="2" t="s">
        <v>83</v>
      </c>
      <c r="C427" s="20">
        <v>42761.373159722221</v>
      </c>
      <c r="D427" s="2" t="s">
        <v>6</v>
      </c>
      <c r="E427" s="2" t="s">
        <v>142</v>
      </c>
      <c r="F427" s="20">
        <v>42767.394305555557</v>
      </c>
      <c r="G427" s="20"/>
      <c r="H427" s="20"/>
      <c r="I427">
        <v>427</v>
      </c>
    </row>
    <row r="428" spans="1:9" ht="25.5" x14ac:dyDescent="0.2">
      <c r="A428" s="2" t="s">
        <v>184</v>
      </c>
      <c r="B428" s="2" t="s">
        <v>83</v>
      </c>
      <c r="C428" s="20">
        <v>42761.373159722221</v>
      </c>
      <c r="D428" s="2" t="s">
        <v>5</v>
      </c>
      <c r="E428" s="2" t="s">
        <v>69</v>
      </c>
      <c r="F428" s="20">
        <v>42775.634641203702</v>
      </c>
      <c r="G428" s="20"/>
      <c r="H428" s="20"/>
      <c r="I428">
        <v>428</v>
      </c>
    </row>
    <row r="429" spans="1:9" ht="63.75" x14ac:dyDescent="0.2">
      <c r="A429" s="2" t="s">
        <v>184</v>
      </c>
      <c r="B429" s="2" t="s">
        <v>83</v>
      </c>
      <c r="C429" s="20">
        <v>42761.373159722221</v>
      </c>
      <c r="D429" s="2" t="s">
        <v>6</v>
      </c>
      <c r="E429" s="2" t="s">
        <v>85</v>
      </c>
      <c r="F429" s="20">
        <v>42775.634641203702</v>
      </c>
      <c r="G429" s="20"/>
      <c r="H429" s="20"/>
      <c r="I429">
        <v>429</v>
      </c>
    </row>
    <row r="430" spans="1:9" ht="25.5" x14ac:dyDescent="0.2">
      <c r="A430" s="2" t="s">
        <v>183</v>
      </c>
      <c r="B430" s="2" t="s">
        <v>37</v>
      </c>
      <c r="C430" s="20">
        <v>42761.473611111112</v>
      </c>
      <c r="D430" s="2" t="s">
        <v>5</v>
      </c>
      <c r="E430" s="2" t="s">
        <v>40</v>
      </c>
      <c r="F430" s="20">
        <v>42761.473622685182</v>
      </c>
      <c r="G430" s="20"/>
      <c r="H430" s="20"/>
      <c r="I430">
        <v>430</v>
      </c>
    </row>
    <row r="431" spans="1:9" ht="25.5" x14ac:dyDescent="0.2">
      <c r="A431" s="2" t="s">
        <v>183</v>
      </c>
      <c r="B431" s="2" t="s">
        <v>37</v>
      </c>
      <c r="C431" s="20">
        <v>42761.473611111112</v>
      </c>
      <c r="D431" s="2" t="s">
        <v>5</v>
      </c>
      <c r="E431" s="2" t="s">
        <v>39</v>
      </c>
      <c r="F431" s="20">
        <v>42761.474675925929</v>
      </c>
      <c r="G431" s="20"/>
      <c r="H431" s="20"/>
      <c r="I431">
        <v>431</v>
      </c>
    </row>
    <row r="432" spans="1:9" ht="63.75" x14ac:dyDescent="0.2">
      <c r="A432" s="2" t="s">
        <v>183</v>
      </c>
      <c r="B432" s="2" t="s">
        <v>37</v>
      </c>
      <c r="C432" s="20">
        <v>42761.473611111112</v>
      </c>
      <c r="D432" s="2" t="s">
        <v>6</v>
      </c>
      <c r="E432" s="2" t="s">
        <v>96</v>
      </c>
      <c r="F432" s="20">
        <v>42761.507175925923</v>
      </c>
      <c r="G432" s="20"/>
      <c r="H432" s="20"/>
      <c r="I432">
        <v>432</v>
      </c>
    </row>
    <row r="433" spans="1:9" ht="25.5" x14ac:dyDescent="0.2">
      <c r="A433" s="2" t="s">
        <v>183</v>
      </c>
      <c r="B433" s="2" t="s">
        <v>37</v>
      </c>
      <c r="C433" s="20">
        <v>42761.473611111112</v>
      </c>
      <c r="D433" s="2" t="s">
        <v>5</v>
      </c>
      <c r="E433" s="2" t="s">
        <v>71</v>
      </c>
      <c r="F433" s="20">
        <v>42765.640069444446</v>
      </c>
      <c r="G433" s="20"/>
      <c r="H433" s="20"/>
      <c r="I433">
        <v>433</v>
      </c>
    </row>
    <row r="434" spans="1:9" ht="63.75" x14ac:dyDescent="0.2">
      <c r="A434" s="2" t="s">
        <v>183</v>
      </c>
      <c r="B434" s="2" t="s">
        <v>37</v>
      </c>
      <c r="C434" s="20">
        <v>42761.473611111112</v>
      </c>
      <c r="D434" s="2" t="s">
        <v>6</v>
      </c>
      <c r="E434" s="2" t="s">
        <v>102</v>
      </c>
      <c r="F434" s="20">
        <v>42765.670011574075</v>
      </c>
      <c r="G434" s="20"/>
      <c r="H434" s="20"/>
      <c r="I434">
        <v>434</v>
      </c>
    </row>
    <row r="435" spans="1:9" ht="25.5" x14ac:dyDescent="0.2">
      <c r="A435" s="2" t="s">
        <v>182</v>
      </c>
      <c r="B435" s="2" t="s">
        <v>37</v>
      </c>
      <c r="C435" s="20">
        <v>42762.444976851853</v>
      </c>
      <c r="D435" s="2" t="s">
        <v>5</v>
      </c>
      <c r="E435" s="2" t="s">
        <v>40</v>
      </c>
      <c r="F435" s="20">
        <v>42762.445069444446</v>
      </c>
      <c r="G435" s="20"/>
      <c r="H435" s="20"/>
      <c r="I435">
        <v>435</v>
      </c>
    </row>
    <row r="436" spans="1:9" ht="25.5" x14ac:dyDescent="0.2">
      <c r="A436" s="2" t="s">
        <v>182</v>
      </c>
      <c r="B436" s="2" t="s">
        <v>37</v>
      </c>
      <c r="C436" s="20">
        <v>42762.444976851853</v>
      </c>
      <c r="D436" s="2" t="s">
        <v>5</v>
      </c>
      <c r="E436" s="2" t="s">
        <v>39</v>
      </c>
      <c r="F436" s="20">
        <v>42762.446134259262</v>
      </c>
      <c r="G436" s="20"/>
      <c r="H436" s="20"/>
      <c r="I436">
        <v>436</v>
      </c>
    </row>
    <row r="437" spans="1:9" ht="63.75" x14ac:dyDescent="0.2">
      <c r="A437" s="2" t="s">
        <v>182</v>
      </c>
      <c r="B437" s="2" t="s">
        <v>37</v>
      </c>
      <c r="C437" s="20">
        <v>42762.444976851853</v>
      </c>
      <c r="D437" s="2" t="s">
        <v>6</v>
      </c>
      <c r="E437" s="2" t="s">
        <v>96</v>
      </c>
      <c r="F437" s="20">
        <v>42762.46366898148</v>
      </c>
      <c r="G437" s="20"/>
      <c r="H437" s="20"/>
      <c r="I437">
        <v>437</v>
      </c>
    </row>
    <row r="438" spans="1:9" ht="25.5" x14ac:dyDescent="0.2">
      <c r="A438" s="2" t="s">
        <v>182</v>
      </c>
      <c r="B438" s="2" t="s">
        <v>37</v>
      </c>
      <c r="C438" s="20">
        <v>42762.444976851853</v>
      </c>
      <c r="D438" s="2" t="s">
        <v>5</v>
      </c>
      <c r="E438" s="2" t="s">
        <v>71</v>
      </c>
      <c r="F438" s="20">
        <v>42762.543564814812</v>
      </c>
      <c r="G438" s="20"/>
      <c r="H438" s="20"/>
      <c r="I438">
        <v>438</v>
      </c>
    </row>
    <row r="439" spans="1:9" ht="63.75" x14ac:dyDescent="0.2">
      <c r="A439" s="2" t="s">
        <v>182</v>
      </c>
      <c r="B439" s="2" t="s">
        <v>37</v>
      </c>
      <c r="C439" s="20">
        <v>42762.444976851853</v>
      </c>
      <c r="D439" s="2" t="s">
        <v>6</v>
      </c>
      <c r="E439" s="2" t="s">
        <v>102</v>
      </c>
      <c r="F439" s="20">
        <v>42765.523993055554</v>
      </c>
      <c r="G439" s="20"/>
      <c r="H439" s="20"/>
      <c r="I439">
        <v>439</v>
      </c>
    </row>
    <row r="440" spans="1:9" ht="25.5" x14ac:dyDescent="0.2">
      <c r="A440" s="2" t="s">
        <v>181</v>
      </c>
      <c r="B440" s="2" t="s">
        <v>37</v>
      </c>
      <c r="C440" s="20">
        <v>42766.375416666669</v>
      </c>
      <c r="D440" s="2" t="s">
        <v>5</v>
      </c>
      <c r="E440" s="2" t="s">
        <v>40</v>
      </c>
      <c r="F440" s="20">
        <v>42766.375439814816</v>
      </c>
      <c r="G440" s="20"/>
      <c r="H440" s="20"/>
      <c r="I440">
        <v>440</v>
      </c>
    </row>
    <row r="441" spans="1:9" ht="25.5" x14ac:dyDescent="0.2">
      <c r="A441" s="2" t="s">
        <v>181</v>
      </c>
      <c r="B441" s="2" t="s">
        <v>37</v>
      </c>
      <c r="C441" s="20">
        <v>42766.375416666669</v>
      </c>
      <c r="D441" s="2" t="s">
        <v>5</v>
      </c>
      <c r="E441" s="2" t="s">
        <v>39</v>
      </c>
      <c r="F441" s="20">
        <v>42766.376203703701</v>
      </c>
      <c r="G441" s="20"/>
      <c r="H441" s="20"/>
      <c r="I441">
        <v>441</v>
      </c>
    </row>
    <row r="442" spans="1:9" ht="63.75" x14ac:dyDescent="0.2">
      <c r="A442" s="2" t="s">
        <v>181</v>
      </c>
      <c r="B442" s="2" t="s">
        <v>37</v>
      </c>
      <c r="C442" s="20">
        <v>42766.375416666669</v>
      </c>
      <c r="D442" s="2" t="s">
        <v>6</v>
      </c>
      <c r="E442" s="2" t="s">
        <v>47</v>
      </c>
      <c r="F442" s="20">
        <v>42766.376203703701</v>
      </c>
      <c r="G442" s="20"/>
      <c r="H442" s="20"/>
      <c r="I442">
        <v>442</v>
      </c>
    </row>
    <row r="443" spans="1:9" ht="25.5" x14ac:dyDescent="0.2">
      <c r="A443" s="2" t="s">
        <v>181</v>
      </c>
      <c r="B443" s="2" t="s">
        <v>37</v>
      </c>
      <c r="C443" s="20">
        <v>42766.375416666669</v>
      </c>
      <c r="D443" s="2" t="s">
        <v>5</v>
      </c>
      <c r="E443" s="2" t="s">
        <v>71</v>
      </c>
      <c r="F443" s="20">
        <v>42766.37767361111</v>
      </c>
      <c r="G443" s="20"/>
      <c r="H443" s="20"/>
      <c r="I443">
        <v>443</v>
      </c>
    </row>
    <row r="444" spans="1:9" ht="63.75" x14ac:dyDescent="0.2">
      <c r="A444" s="2" t="s">
        <v>181</v>
      </c>
      <c r="B444" s="2" t="s">
        <v>37</v>
      </c>
      <c r="C444" s="20">
        <v>42766.375416666669</v>
      </c>
      <c r="D444" s="2" t="s">
        <v>6</v>
      </c>
      <c r="E444" s="2" t="s">
        <v>102</v>
      </c>
      <c r="F444" s="20">
        <v>42768.597916666666</v>
      </c>
      <c r="G444" s="20"/>
      <c r="H444" s="20"/>
      <c r="I444">
        <v>444</v>
      </c>
    </row>
    <row r="445" spans="1:9" ht="25.5" x14ac:dyDescent="0.2">
      <c r="A445" s="2" t="s">
        <v>180</v>
      </c>
      <c r="B445" s="2" t="s">
        <v>37</v>
      </c>
      <c r="C445" s="20">
        <v>42766.530902777777</v>
      </c>
      <c r="D445" s="2" t="s">
        <v>5</v>
      </c>
      <c r="E445" s="2" t="s">
        <v>40</v>
      </c>
      <c r="F445" s="20">
        <v>42766.530914351853</v>
      </c>
      <c r="G445" s="20"/>
      <c r="H445" s="20"/>
      <c r="I445">
        <v>445</v>
      </c>
    </row>
    <row r="446" spans="1:9" ht="25.5" x14ac:dyDescent="0.2">
      <c r="A446" s="2" t="s">
        <v>180</v>
      </c>
      <c r="B446" s="2" t="s">
        <v>37</v>
      </c>
      <c r="C446" s="20">
        <v>42766.530902777777</v>
      </c>
      <c r="D446" s="2" t="s">
        <v>5</v>
      </c>
      <c r="E446" s="2" t="s">
        <v>39</v>
      </c>
      <c r="F446" s="20">
        <v>42766.531377314815</v>
      </c>
      <c r="G446" s="20"/>
      <c r="H446" s="20"/>
      <c r="I446">
        <v>446</v>
      </c>
    </row>
    <row r="447" spans="1:9" ht="63.75" x14ac:dyDescent="0.2">
      <c r="A447" s="2" t="s">
        <v>180</v>
      </c>
      <c r="B447" s="2" t="s">
        <v>37</v>
      </c>
      <c r="C447" s="20">
        <v>42766.530902777777</v>
      </c>
      <c r="D447" s="2" t="s">
        <v>6</v>
      </c>
      <c r="E447" s="2" t="s">
        <v>60</v>
      </c>
      <c r="F447" s="20">
        <v>42766.55641203704</v>
      </c>
      <c r="G447" s="20"/>
      <c r="H447" s="20"/>
      <c r="I447">
        <v>447</v>
      </c>
    </row>
    <row r="448" spans="1:9" ht="25.5" x14ac:dyDescent="0.2">
      <c r="A448" s="2" t="s">
        <v>180</v>
      </c>
      <c r="B448" s="2" t="s">
        <v>37</v>
      </c>
      <c r="C448" s="20">
        <v>42766.530902777777</v>
      </c>
      <c r="D448" s="2" t="s">
        <v>5</v>
      </c>
      <c r="E448" s="2" t="s">
        <v>71</v>
      </c>
      <c r="F448" s="20">
        <v>42766.558020833334</v>
      </c>
      <c r="G448" s="20"/>
      <c r="H448" s="20"/>
      <c r="I448">
        <v>448</v>
      </c>
    </row>
    <row r="449" spans="1:9" ht="63.75" x14ac:dyDescent="0.2">
      <c r="A449" s="2" t="s">
        <v>180</v>
      </c>
      <c r="B449" s="2" t="s">
        <v>37</v>
      </c>
      <c r="C449" s="20">
        <v>42766.530902777777</v>
      </c>
      <c r="D449" s="2" t="s">
        <v>6</v>
      </c>
      <c r="E449" s="2" t="s">
        <v>102</v>
      </c>
      <c r="F449" s="20">
        <v>42768.599444444444</v>
      </c>
      <c r="G449" s="20"/>
      <c r="H449" s="20"/>
      <c r="I449">
        <v>449</v>
      </c>
    </row>
    <row r="450" spans="1:9" ht="25.5" x14ac:dyDescent="0.2">
      <c r="A450" s="2" t="s">
        <v>179</v>
      </c>
      <c r="B450" s="2" t="s">
        <v>37</v>
      </c>
      <c r="C450" s="20">
        <v>42766.60659722222</v>
      </c>
      <c r="D450" s="2" t="s">
        <v>5</v>
      </c>
      <c r="E450" s="2" t="s">
        <v>40</v>
      </c>
      <c r="F450" s="20">
        <v>42766.606608796297</v>
      </c>
      <c r="G450" s="20"/>
      <c r="H450" s="20"/>
      <c r="I450">
        <v>450</v>
      </c>
    </row>
    <row r="451" spans="1:9" ht="25.5" x14ac:dyDescent="0.2">
      <c r="A451" s="2" t="s">
        <v>179</v>
      </c>
      <c r="B451" s="2" t="s">
        <v>37</v>
      </c>
      <c r="C451" s="20">
        <v>42766.60659722222</v>
      </c>
      <c r="D451" s="2" t="s">
        <v>5</v>
      </c>
      <c r="E451" s="2" t="s">
        <v>39</v>
      </c>
      <c r="F451" s="20">
        <v>42766.610671296294</v>
      </c>
      <c r="G451" s="20"/>
      <c r="H451" s="20"/>
      <c r="I451">
        <v>451</v>
      </c>
    </row>
    <row r="452" spans="1:9" ht="63.75" x14ac:dyDescent="0.2">
      <c r="A452" s="2" t="s">
        <v>179</v>
      </c>
      <c r="B452" s="2" t="s">
        <v>37</v>
      </c>
      <c r="C452" s="20">
        <v>42766.60659722222</v>
      </c>
      <c r="D452" s="2" t="s">
        <v>6</v>
      </c>
      <c r="E452" s="2" t="s">
        <v>41</v>
      </c>
      <c r="F452" s="20">
        <v>42766.610671296294</v>
      </c>
      <c r="G452" s="20"/>
      <c r="H452" s="20"/>
      <c r="I452">
        <v>452</v>
      </c>
    </row>
    <row r="453" spans="1:9" ht="25.5" x14ac:dyDescent="0.2">
      <c r="A453" s="2" t="s">
        <v>179</v>
      </c>
      <c r="B453" s="2" t="s">
        <v>37</v>
      </c>
      <c r="C453" s="20">
        <v>42766.60659722222</v>
      </c>
      <c r="D453" s="2" t="s">
        <v>5</v>
      </c>
      <c r="E453" s="2" t="s">
        <v>69</v>
      </c>
      <c r="F453" s="20">
        <v>42766.668425925927</v>
      </c>
      <c r="G453" s="20"/>
      <c r="H453" s="20"/>
      <c r="I453">
        <v>453</v>
      </c>
    </row>
    <row r="454" spans="1:9" ht="51" x14ac:dyDescent="0.2">
      <c r="A454" s="2" t="s">
        <v>179</v>
      </c>
      <c r="B454" s="2" t="s">
        <v>37</v>
      </c>
      <c r="C454" s="20">
        <v>42766.60659722222</v>
      </c>
      <c r="D454" s="2" t="s">
        <v>6</v>
      </c>
      <c r="E454" s="2" t="s">
        <v>105</v>
      </c>
      <c r="F454" s="20">
        <v>42766.670428240737</v>
      </c>
      <c r="G454" s="20"/>
      <c r="H454" s="20"/>
      <c r="I454">
        <v>454</v>
      </c>
    </row>
    <row r="455" spans="1:9" ht="25.5" x14ac:dyDescent="0.2">
      <c r="A455" s="2" t="s">
        <v>179</v>
      </c>
      <c r="B455" s="2" t="s">
        <v>37</v>
      </c>
      <c r="C455" s="20">
        <v>42766.60659722222</v>
      </c>
      <c r="D455" s="2" t="s">
        <v>5</v>
      </c>
      <c r="E455" s="2" t="s">
        <v>39</v>
      </c>
      <c r="F455" s="20">
        <v>42769.445150462961</v>
      </c>
      <c r="G455" s="20"/>
      <c r="H455" s="20"/>
      <c r="I455">
        <v>455</v>
      </c>
    </row>
    <row r="456" spans="1:9" ht="25.5" x14ac:dyDescent="0.2">
      <c r="A456" s="2" t="s">
        <v>179</v>
      </c>
      <c r="B456" s="2" t="s">
        <v>37</v>
      </c>
      <c r="C456" s="20">
        <v>42766.60659722222</v>
      </c>
      <c r="D456" s="2" t="s">
        <v>5</v>
      </c>
      <c r="E456" s="2" t="s">
        <v>69</v>
      </c>
      <c r="F456" s="20">
        <v>42769.445462962962</v>
      </c>
      <c r="G456" s="20"/>
      <c r="H456" s="20"/>
      <c r="I456">
        <v>456</v>
      </c>
    </row>
    <row r="457" spans="1:9" ht="51" x14ac:dyDescent="0.2">
      <c r="A457" s="2" t="s">
        <v>179</v>
      </c>
      <c r="B457" s="2" t="s">
        <v>37</v>
      </c>
      <c r="C457" s="20">
        <v>42766.60659722222</v>
      </c>
      <c r="D457" s="2" t="s">
        <v>6</v>
      </c>
      <c r="E457" s="2" t="s">
        <v>105</v>
      </c>
      <c r="F457" s="20">
        <v>42769.445462962962</v>
      </c>
      <c r="G457" s="20"/>
      <c r="H457" s="20"/>
      <c r="I457">
        <v>457</v>
      </c>
    </row>
    <row r="458" spans="1:9" ht="25.5" x14ac:dyDescent="0.2">
      <c r="A458" s="2" t="s">
        <v>179</v>
      </c>
      <c r="B458" s="2" t="s">
        <v>37</v>
      </c>
      <c r="C458" s="20">
        <v>42766.60659722222</v>
      </c>
      <c r="D458" s="2" t="s">
        <v>5</v>
      </c>
      <c r="E458" s="2" t="s">
        <v>144</v>
      </c>
      <c r="F458" s="20">
        <v>42769.665208333332</v>
      </c>
      <c r="G458" s="20"/>
      <c r="H458" s="20"/>
      <c r="I458">
        <v>458</v>
      </c>
    </row>
    <row r="459" spans="1:9" ht="63.75" x14ac:dyDescent="0.2">
      <c r="A459" s="2" t="s">
        <v>179</v>
      </c>
      <c r="B459" s="2" t="s">
        <v>37</v>
      </c>
      <c r="C459" s="20">
        <v>42766.60659722222</v>
      </c>
      <c r="D459" s="2" t="s">
        <v>6</v>
      </c>
      <c r="E459" s="2" t="s">
        <v>142</v>
      </c>
      <c r="F459" s="20">
        <v>42769.665208333332</v>
      </c>
      <c r="G459" s="20"/>
      <c r="H459" s="20"/>
      <c r="I459">
        <v>459</v>
      </c>
    </row>
    <row r="460" spans="1:9" ht="25.5" x14ac:dyDescent="0.2">
      <c r="A460" s="2" t="s">
        <v>179</v>
      </c>
      <c r="B460" s="2" t="s">
        <v>37</v>
      </c>
      <c r="C460" s="20">
        <v>42766.60659722222</v>
      </c>
      <c r="D460" s="2" t="s">
        <v>5</v>
      </c>
      <c r="E460" s="2" t="s">
        <v>69</v>
      </c>
      <c r="F460" s="20">
        <v>42773.59952546296</v>
      </c>
      <c r="G460" s="20"/>
      <c r="H460" s="20"/>
      <c r="I460">
        <v>460</v>
      </c>
    </row>
    <row r="461" spans="1:9" ht="63.75" x14ac:dyDescent="0.2">
      <c r="A461" s="2" t="s">
        <v>179</v>
      </c>
      <c r="B461" s="2" t="s">
        <v>37</v>
      </c>
      <c r="C461" s="20">
        <v>42766.60659722222</v>
      </c>
      <c r="D461" s="2" t="s">
        <v>6</v>
      </c>
      <c r="E461" s="2" t="s">
        <v>67</v>
      </c>
      <c r="F461" s="20">
        <v>42773.59952546296</v>
      </c>
      <c r="G461" s="20"/>
      <c r="H461" s="20"/>
      <c r="I461">
        <v>461</v>
      </c>
    </row>
    <row r="462" spans="1:9" ht="25.5" x14ac:dyDescent="0.2">
      <c r="A462" s="2" t="s">
        <v>179</v>
      </c>
      <c r="B462" s="2" t="s">
        <v>37</v>
      </c>
      <c r="C462" s="20">
        <v>42766.60659722222</v>
      </c>
      <c r="D462" s="2" t="s">
        <v>5</v>
      </c>
      <c r="E462" s="2" t="s">
        <v>71</v>
      </c>
      <c r="F462" s="20">
        <v>42774.417905092596</v>
      </c>
      <c r="G462" s="20"/>
      <c r="H462" s="20"/>
      <c r="I462">
        <v>462</v>
      </c>
    </row>
    <row r="463" spans="1:9" ht="63.75" x14ac:dyDescent="0.2">
      <c r="A463" s="2" t="s">
        <v>179</v>
      </c>
      <c r="B463" s="2" t="s">
        <v>37</v>
      </c>
      <c r="C463" s="20">
        <v>42766.60659722222</v>
      </c>
      <c r="D463" s="2" t="s">
        <v>6</v>
      </c>
      <c r="E463" s="2" t="s">
        <v>102</v>
      </c>
      <c r="F463" s="20">
        <v>42774.55609953704</v>
      </c>
      <c r="G463" s="20"/>
      <c r="H463" s="20"/>
      <c r="I463">
        <v>463</v>
      </c>
    </row>
    <row r="464" spans="1:9" ht="25.5" x14ac:dyDescent="0.2">
      <c r="A464" s="2" t="s">
        <v>178</v>
      </c>
      <c r="B464" s="2" t="s">
        <v>37</v>
      </c>
      <c r="C464" s="20">
        <v>42767.399039351854</v>
      </c>
      <c r="D464" s="2" t="s">
        <v>5</v>
      </c>
      <c r="E464" s="2" t="s">
        <v>40</v>
      </c>
      <c r="F464" s="20">
        <v>42767.399108796293</v>
      </c>
      <c r="G464" s="20"/>
      <c r="H464" s="20"/>
      <c r="I464">
        <v>464</v>
      </c>
    </row>
    <row r="465" spans="1:9" ht="25.5" x14ac:dyDescent="0.2">
      <c r="A465" s="2" t="s">
        <v>178</v>
      </c>
      <c r="B465" s="2" t="s">
        <v>37</v>
      </c>
      <c r="C465" s="20">
        <v>42767.399039351854</v>
      </c>
      <c r="D465" s="2" t="s">
        <v>5</v>
      </c>
      <c r="E465" s="2" t="s">
        <v>39</v>
      </c>
      <c r="F465" s="20">
        <v>42767.399456018517</v>
      </c>
      <c r="G465" s="20"/>
      <c r="H465" s="20"/>
      <c r="I465">
        <v>465</v>
      </c>
    </row>
    <row r="466" spans="1:9" ht="25.5" x14ac:dyDescent="0.2">
      <c r="A466" s="2" t="s">
        <v>178</v>
      </c>
      <c r="B466" s="2" t="s">
        <v>37</v>
      </c>
      <c r="C466" s="20">
        <v>42767.399039351854</v>
      </c>
      <c r="D466" s="2" t="s">
        <v>5</v>
      </c>
      <c r="E466" s="2" t="s">
        <v>71</v>
      </c>
      <c r="F466" s="20">
        <v>42767.421851851854</v>
      </c>
      <c r="G466" s="20"/>
      <c r="H466" s="20"/>
      <c r="I466">
        <v>466</v>
      </c>
    </row>
    <row r="467" spans="1:9" ht="63.75" x14ac:dyDescent="0.2">
      <c r="A467" s="2" t="s">
        <v>178</v>
      </c>
      <c r="B467" s="2" t="s">
        <v>37</v>
      </c>
      <c r="C467" s="20">
        <v>42767.399039351854</v>
      </c>
      <c r="D467" s="2" t="s">
        <v>6</v>
      </c>
      <c r="E467" s="2" t="s">
        <v>102</v>
      </c>
      <c r="F467" s="20">
        <v>42773.454525462963</v>
      </c>
      <c r="G467" s="20"/>
      <c r="H467" s="20"/>
      <c r="I467">
        <v>467</v>
      </c>
    </row>
    <row r="468" spans="1:9" ht="25.5" x14ac:dyDescent="0.2">
      <c r="A468" s="2" t="s">
        <v>177</v>
      </c>
      <c r="B468" s="2" t="s">
        <v>37</v>
      </c>
      <c r="C468" s="20">
        <v>42767.594988425924</v>
      </c>
      <c r="D468" s="2" t="s">
        <v>5</v>
      </c>
      <c r="E468" s="2" t="s">
        <v>40</v>
      </c>
      <c r="F468" s="20">
        <v>42767.595023148147</v>
      </c>
      <c r="G468" s="20">
        <v>42767.598240740743</v>
      </c>
      <c r="H468" s="20"/>
      <c r="I468">
        <v>468</v>
      </c>
    </row>
    <row r="469" spans="1:9" ht="25.5" x14ac:dyDescent="0.2">
      <c r="A469" s="2" t="s">
        <v>177</v>
      </c>
      <c r="B469" s="2" t="s">
        <v>37</v>
      </c>
      <c r="C469" s="20">
        <v>42767.594988425924</v>
      </c>
      <c r="D469" s="2" t="s">
        <v>5</v>
      </c>
      <c r="E469" s="2" t="s">
        <v>39</v>
      </c>
      <c r="F469" s="20">
        <v>42767.598321759258</v>
      </c>
      <c r="G469" s="20">
        <v>42767.598240740743</v>
      </c>
      <c r="H469" s="20"/>
      <c r="I469">
        <v>469</v>
      </c>
    </row>
    <row r="470" spans="1:9" ht="63.75" x14ac:dyDescent="0.2">
      <c r="A470" s="2" t="s">
        <v>177</v>
      </c>
      <c r="B470" s="2" t="s">
        <v>37</v>
      </c>
      <c r="C470" s="20">
        <v>42767.594988425924</v>
      </c>
      <c r="D470" s="2" t="s">
        <v>6</v>
      </c>
      <c r="E470" s="2" t="s">
        <v>115</v>
      </c>
      <c r="F470" s="20">
        <v>42767.598321759258</v>
      </c>
      <c r="G470" s="20">
        <v>42767.598240740743</v>
      </c>
      <c r="H470" s="20"/>
      <c r="I470">
        <v>470</v>
      </c>
    </row>
    <row r="471" spans="1:9" ht="25.5" x14ac:dyDescent="0.2">
      <c r="A471" s="2" t="s">
        <v>177</v>
      </c>
      <c r="B471" s="2" t="s">
        <v>37</v>
      </c>
      <c r="C471" s="20">
        <v>42767.594988425924</v>
      </c>
      <c r="D471" s="2" t="s">
        <v>5</v>
      </c>
      <c r="E471" s="2" t="s">
        <v>69</v>
      </c>
      <c r="F471" s="20">
        <v>42767.721597222226</v>
      </c>
      <c r="G471" s="20">
        <v>42767.598240740743</v>
      </c>
      <c r="H471" s="20"/>
      <c r="I471">
        <v>471</v>
      </c>
    </row>
    <row r="472" spans="1:9" ht="63.75" x14ac:dyDescent="0.2">
      <c r="A472" s="2" t="s">
        <v>177</v>
      </c>
      <c r="B472" s="2" t="s">
        <v>37</v>
      </c>
      <c r="C472" s="20">
        <v>42767.594988425924</v>
      </c>
      <c r="D472" s="2" t="s">
        <v>6</v>
      </c>
      <c r="E472" s="2" t="s">
        <v>145</v>
      </c>
      <c r="F472" s="20">
        <v>42767.786296296297</v>
      </c>
      <c r="G472" s="20">
        <v>42767.598240740743</v>
      </c>
      <c r="H472" s="20"/>
      <c r="I472">
        <v>472</v>
      </c>
    </row>
    <row r="473" spans="1:9" ht="25.5" x14ac:dyDescent="0.2">
      <c r="A473" s="2" t="s">
        <v>177</v>
      </c>
      <c r="B473" s="2" t="s">
        <v>37</v>
      </c>
      <c r="C473" s="20">
        <v>42767.594988425924</v>
      </c>
      <c r="D473" s="2" t="s">
        <v>5</v>
      </c>
      <c r="E473" s="2" t="s">
        <v>39</v>
      </c>
      <c r="F473" s="20">
        <v>42767.818425925929</v>
      </c>
      <c r="G473" s="20">
        <v>42767.598240740743</v>
      </c>
      <c r="H473" s="20"/>
      <c r="I473">
        <v>473</v>
      </c>
    </row>
    <row r="474" spans="1:9" ht="25.5" x14ac:dyDescent="0.2">
      <c r="A474" s="2" t="s">
        <v>177</v>
      </c>
      <c r="B474" s="2" t="s">
        <v>37</v>
      </c>
      <c r="C474" s="20">
        <v>42767.594988425924</v>
      </c>
      <c r="D474" s="2" t="s">
        <v>5</v>
      </c>
      <c r="E474" s="2" t="s">
        <v>71</v>
      </c>
      <c r="F474" s="20">
        <v>42768.403460648151</v>
      </c>
      <c r="G474" s="20">
        <v>42767.598240740743</v>
      </c>
      <c r="H474" s="20"/>
      <c r="I474">
        <v>474</v>
      </c>
    </row>
    <row r="475" spans="1:9" ht="63.75" x14ac:dyDescent="0.2">
      <c r="A475" s="2" t="s">
        <v>177</v>
      </c>
      <c r="B475" s="2" t="s">
        <v>37</v>
      </c>
      <c r="C475" s="20">
        <v>42767.594988425924</v>
      </c>
      <c r="D475" s="2" t="s">
        <v>6</v>
      </c>
      <c r="E475" s="2" t="s">
        <v>102</v>
      </c>
      <c r="F475" s="20">
        <v>42768.553136574075</v>
      </c>
      <c r="G475" s="20">
        <v>42767.598240740743</v>
      </c>
      <c r="H475" s="20"/>
      <c r="I475">
        <v>475</v>
      </c>
    </row>
    <row r="476" spans="1:9" ht="25.5" x14ac:dyDescent="0.2">
      <c r="A476" s="2" t="s">
        <v>175</v>
      </c>
      <c r="B476" s="2" t="s">
        <v>37</v>
      </c>
      <c r="C476" s="20">
        <v>42768.398969907408</v>
      </c>
      <c r="D476" s="2" t="s">
        <v>5</v>
      </c>
      <c r="E476" s="2" t="s">
        <v>40</v>
      </c>
      <c r="F476" s="20">
        <v>42768.399039351854</v>
      </c>
      <c r="G476" s="20"/>
      <c r="H476" s="20"/>
      <c r="I476">
        <v>476</v>
      </c>
    </row>
    <row r="477" spans="1:9" ht="25.5" x14ac:dyDescent="0.2">
      <c r="A477" s="2" t="s">
        <v>175</v>
      </c>
      <c r="B477" s="2" t="s">
        <v>37</v>
      </c>
      <c r="C477" s="20">
        <v>42768.398969907408</v>
      </c>
      <c r="D477" s="2" t="s">
        <v>5</v>
      </c>
      <c r="E477" s="2" t="s">
        <v>39</v>
      </c>
      <c r="F477" s="20">
        <v>42768.406481481485</v>
      </c>
      <c r="G477" s="20"/>
      <c r="H477" s="20"/>
      <c r="I477">
        <v>477</v>
      </c>
    </row>
    <row r="478" spans="1:9" ht="38.25" x14ac:dyDescent="0.2">
      <c r="A478" s="2" t="s">
        <v>175</v>
      </c>
      <c r="B478" s="2" t="s">
        <v>37</v>
      </c>
      <c r="C478" s="20">
        <v>42768.398969907408</v>
      </c>
      <c r="D478" s="2" t="s">
        <v>5</v>
      </c>
      <c r="E478" s="2" t="s">
        <v>176</v>
      </c>
      <c r="F478" s="20">
        <v>42768.413969907408</v>
      </c>
      <c r="G478" s="20"/>
      <c r="H478" s="20"/>
      <c r="I478">
        <v>478</v>
      </c>
    </row>
    <row r="479" spans="1:9" ht="63.75" x14ac:dyDescent="0.2">
      <c r="A479" s="2" t="s">
        <v>175</v>
      </c>
      <c r="B479" s="2" t="s">
        <v>37</v>
      </c>
      <c r="C479" s="20">
        <v>42768.398969907408</v>
      </c>
      <c r="D479" s="2" t="s">
        <v>6</v>
      </c>
      <c r="E479" s="2" t="s">
        <v>55</v>
      </c>
      <c r="F479" s="20">
        <v>42768.413969907408</v>
      </c>
      <c r="G479" s="20"/>
      <c r="H479" s="20"/>
      <c r="I479">
        <v>479</v>
      </c>
    </row>
    <row r="480" spans="1:9" ht="25.5" x14ac:dyDescent="0.2">
      <c r="A480" s="2" t="s">
        <v>175</v>
      </c>
      <c r="B480" s="2" t="s">
        <v>37</v>
      </c>
      <c r="C480" s="20">
        <v>42768.398969907408</v>
      </c>
      <c r="D480" s="2" t="s">
        <v>5</v>
      </c>
      <c r="E480" s="2" t="s">
        <v>65</v>
      </c>
      <c r="F480" s="20">
        <v>42769.362326388888</v>
      </c>
      <c r="G480" s="20"/>
      <c r="H480" s="20"/>
      <c r="I480">
        <v>480</v>
      </c>
    </row>
    <row r="481" spans="1:9" ht="63.75" x14ac:dyDescent="0.2">
      <c r="A481" s="2" t="s">
        <v>175</v>
      </c>
      <c r="B481" s="2" t="s">
        <v>37</v>
      </c>
      <c r="C481" s="20">
        <v>42768.398969907408</v>
      </c>
      <c r="D481" s="2" t="s">
        <v>6</v>
      </c>
      <c r="E481" s="2" t="s">
        <v>73</v>
      </c>
      <c r="F481" s="20">
        <v>42769.410821759258</v>
      </c>
      <c r="G481" s="20"/>
      <c r="H481" s="20"/>
      <c r="I481">
        <v>481</v>
      </c>
    </row>
    <row r="482" spans="1:9" ht="25.5" x14ac:dyDescent="0.2">
      <c r="A482" s="2" t="s">
        <v>174</v>
      </c>
      <c r="B482" s="2" t="s">
        <v>37</v>
      </c>
      <c r="C482" s="20">
        <v>42768.402372685188</v>
      </c>
      <c r="D482" s="2" t="s">
        <v>5</v>
      </c>
      <c r="E482" s="2" t="s">
        <v>40</v>
      </c>
      <c r="F482" s="20">
        <v>42768.402384259258</v>
      </c>
      <c r="G482" s="20">
        <v>42775.378229166665</v>
      </c>
      <c r="H482" s="20"/>
      <c r="I482">
        <v>482</v>
      </c>
    </row>
    <row r="483" spans="1:9" ht="25.5" x14ac:dyDescent="0.2">
      <c r="A483" s="2" t="s">
        <v>174</v>
      </c>
      <c r="B483" s="2" t="s">
        <v>37</v>
      </c>
      <c r="C483" s="20">
        <v>42768.402372685188</v>
      </c>
      <c r="D483" s="2" t="s">
        <v>5</v>
      </c>
      <c r="E483" s="2" t="s">
        <v>69</v>
      </c>
      <c r="F483" s="20">
        <v>42768.426516203705</v>
      </c>
      <c r="G483" s="20">
        <v>42775.378229166665</v>
      </c>
      <c r="H483" s="20"/>
      <c r="I483">
        <v>483</v>
      </c>
    </row>
    <row r="484" spans="1:9" ht="63.75" x14ac:dyDescent="0.2">
      <c r="A484" s="2" t="s">
        <v>174</v>
      </c>
      <c r="B484" s="2" t="s">
        <v>37</v>
      </c>
      <c r="C484" s="20">
        <v>42768.402372685188</v>
      </c>
      <c r="D484" s="2" t="s">
        <v>6</v>
      </c>
      <c r="E484" s="2" t="s">
        <v>67</v>
      </c>
      <c r="F484" s="20">
        <v>42768.438981481479</v>
      </c>
      <c r="G484" s="20">
        <v>42775.378229166665</v>
      </c>
      <c r="H484" s="20"/>
      <c r="I484">
        <v>484</v>
      </c>
    </row>
    <row r="485" spans="1:9" ht="25.5" x14ac:dyDescent="0.2">
      <c r="A485" s="2" t="s">
        <v>173</v>
      </c>
      <c r="B485" s="2" t="s">
        <v>37</v>
      </c>
      <c r="C485" s="20">
        <v>42768.42627314815</v>
      </c>
      <c r="D485" s="2" t="s">
        <v>5</v>
      </c>
      <c r="E485" s="2" t="s">
        <v>40</v>
      </c>
      <c r="F485" s="20">
        <v>42768.426365740743</v>
      </c>
      <c r="G485" s="20">
        <v>42775.176006944443</v>
      </c>
      <c r="H485" s="20"/>
      <c r="I485">
        <v>485</v>
      </c>
    </row>
    <row r="486" spans="1:9" ht="25.5" x14ac:dyDescent="0.2">
      <c r="A486" s="2" t="s">
        <v>173</v>
      </c>
      <c r="B486" s="2" t="s">
        <v>37</v>
      </c>
      <c r="C486" s="20">
        <v>42768.42627314815</v>
      </c>
      <c r="D486" s="2" t="s">
        <v>5</v>
      </c>
      <c r="E486" s="2" t="s">
        <v>39</v>
      </c>
      <c r="F486" s="20">
        <v>42768.427175925928</v>
      </c>
      <c r="G486" s="20">
        <v>42775.176006944443</v>
      </c>
      <c r="H486" s="20"/>
      <c r="I486">
        <v>486</v>
      </c>
    </row>
    <row r="487" spans="1:9" ht="51" x14ac:dyDescent="0.2">
      <c r="A487" s="2" t="s">
        <v>173</v>
      </c>
      <c r="B487" s="2" t="s">
        <v>37</v>
      </c>
      <c r="C487" s="20">
        <v>42768.42627314815</v>
      </c>
      <c r="D487" s="2" t="s">
        <v>6</v>
      </c>
      <c r="E487" s="2" t="s">
        <v>77</v>
      </c>
      <c r="F487" s="20">
        <v>42768.470995370371</v>
      </c>
      <c r="G487" s="20">
        <v>42775.176006944443</v>
      </c>
      <c r="H487" s="20"/>
      <c r="I487">
        <v>487</v>
      </c>
    </row>
    <row r="488" spans="1:9" ht="25.5" x14ac:dyDescent="0.2">
      <c r="A488" s="2" t="s">
        <v>173</v>
      </c>
      <c r="B488" s="2" t="s">
        <v>37</v>
      </c>
      <c r="C488" s="20">
        <v>42768.42627314815</v>
      </c>
      <c r="D488" s="2" t="s">
        <v>5</v>
      </c>
      <c r="E488" s="2" t="s">
        <v>69</v>
      </c>
      <c r="F488" s="20">
        <v>42768.529398148145</v>
      </c>
      <c r="G488" s="20">
        <v>42775.176006944443</v>
      </c>
      <c r="H488" s="20"/>
      <c r="I488">
        <v>488</v>
      </c>
    </row>
    <row r="489" spans="1:9" ht="51" x14ac:dyDescent="0.2">
      <c r="A489" s="2" t="s">
        <v>173</v>
      </c>
      <c r="B489" s="2" t="s">
        <v>37</v>
      </c>
      <c r="C489" s="20">
        <v>42768.42627314815</v>
      </c>
      <c r="D489" s="2" t="s">
        <v>6</v>
      </c>
      <c r="E489" s="2" t="s">
        <v>105</v>
      </c>
      <c r="F489" s="20">
        <v>42768.540636574071</v>
      </c>
      <c r="G489" s="20">
        <v>42775.176006944443</v>
      </c>
      <c r="H489" s="20"/>
      <c r="I489">
        <v>489</v>
      </c>
    </row>
    <row r="490" spans="1:9" ht="25.5" x14ac:dyDescent="0.2">
      <c r="A490" s="2" t="s">
        <v>173</v>
      </c>
      <c r="B490" s="2" t="s">
        <v>37</v>
      </c>
      <c r="C490" s="20">
        <v>42768.42627314815</v>
      </c>
      <c r="D490" s="2" t="s">
        <v>5</v>
      </c>
      <c r="E490" s="2" t="s">
        <v>144</v>
      </c>
      <c r="F490" s="20">
        <v>42772.509756944448</v>
      </c>
      <c r="G490" s="20">
        <v>42775.176006944443</v>
      </c>
      <c r="H490" s="20"/>
      <c r="I490">
        <v>490</v>
      </c>
    </row>
    <row r="491" spans="1:9" ht="63.75" x14ac:dyDescent="0.2">
      <c r="A491" s="2" t="s">
        <v>173</v>
      </c>
      <c r="B491" s="2" t="s">
        <v>37</v>
      </c>
      <c r="C491" s="20">
        <v>42768.42627314815</v>
      </c>
      <c r="D491" s="2" t="s">
        <v>6</v>
      </c>
      <c r="E491" s="2" t="s">
        <v>142</v>
      </c>
      <c r="F491" s="20">
        <v>42772.509756944448</v>
      </c>
      <c r="G491" s="20">
        <v>42775.176006944443</v>
      </c>
      <c r="H491" s="20"/>
      <c r="I491">
        <v>491</v>
      </c>
    </row>
    <row r="492" spans="1:9" ht="25.5" x14ac:dyDescent="0.2">
      <c r="A492" s="2" t="s">
        <v>172</v>
      </c>
      <c r="B492" s="2" t="s">
        <v>37</v>
      </c>
      <c r="C492" s="20">
        <v>42768.522314814814</v>
      </c>
      <c r="D492" s="2" t="s">
        <v>5</v>
      </c>
      <c r="E492" s="2" t="s">
        <v>40</v>
      </c>
      <c r="F492" s="20">
        <v>42768.522337962961</v>
      </c>
      <c r="G492" s="20"/>
      <c r="H492" s="20"/>
      <c r="I492">
        <v>492</v>
      </c>
    </row>
    <row r="493" spans="1:9" ht="25.5" x14ac:dyDescent="0.2">
      <c r="A493" s="2" t="s">
        <v>172</v>
      </c>
      <c r="B493" s="2" t="s">
        <v>37</v>
      </c>
      <c r="C493" s="20">
        <v>42768.522314814814</v>
      </c>
      <c r="D493" s="2" t="s">
        <v>5</v>
      </c>
      <c r="E493" s="2" t="s">
        <v>39</v>
      </c>
      <c r="F493" s="20">
        <v>42768.522881944446</v>
      </c>
      <c r="G493" s="20"/>
      <c r="H493" s="20"/>
      <c r="I493">
        <v>493</v>
      </c>
    </row>
    <row r="494" spans="1:9" ht="25.5" x14ac:dyDescent="0.2">
      <c r="A494" s="2" t="s">
        <v>172</v>
      </c>
      <c r="B494" s="2" t="s">
        <v>37</v>
      </c>
      <c r="C494" s="20">
        <v>42768.522314814814</v>
      </c>
      <c r="D494" s="2" t="s">
        <v>5</v>
      </c>
      <c r="E494" s="2" t="s">
        <v>71</v>
      </c>
      <c r="F494" s="20">
        <v>42768.526446759257</v>
      </c>
      <c r="G494" s="20"/>
      <c r="H494" s="20"/>
      <c r="I494">
        <v>494</v>
      </c>
    </row>
    <row r="495" spans="1:9" ht="63.75" x14ac:dyDescent="0.2">
      <c r="A495" s="2" t="s">
        <v>172</v>
      </c>
      <c r="B495" s="2" t="s">
        <v>37</v>
      </c>
      <c r="C495" s="20">
        <v>42768.522314814814</v>
      </c>
      <c r="D495" s="2" t="s">
        <v>6</v>
      </c>
      <c r="E495" s="2" t="s">
        <v>171</v>
      </c>
      <c r="F495" s="20">
        <v>42768.563125000001</v>
      </c>
      <c r="G495" s="20"/>
      <c r="H495" s="20"/>
      <c r="I495">
        <v>495</v>
      </c>
    </row>
    <row r="496" spans="1:9" ht="25.5" x14ac:dyDescent="0.2">
      <c r="A496" s="2" t="s">
        <v>170</v>
      </c>
      <c r="B496" s="2" t="s">
        <v>83</v>
      </c>
      <c r="C496" s="20">
        <v>42768.600393518522</v>
      </c>
      <c r="D496" s="2" t="s">
        <v>5</v>
      </c>
      <c r="E496" s="2" t="s">
        <v>40</v>
      </c>
      <c r="F496" s="20">
        <v>42768.600393518522</v>
      </c>
      <c r="G496" s="20"/>
      <c r="H496" s="20"/>
      <c r="I496">
        <v>496</v>
      </c>
    </row>
    <row r="497" spans="1:9" ht="25.5" x14ac:dyDescent="0.2">
      <c r="A497" s="2" t="s">
        <v>170</v>
      </c>
      <c r="B497" s="2" t="s">
        <v>83</v>
      </c>
      <c r="C497" s="20">
        <v>42768.600393518522</v>
      </c>
      <c r="D497" s="2" t="s">
        <v>5</v>
      </c>
      <c r="E497" s="2" t="s">
        <v>39</v>
      </c>
      <c r="F497" s="20">
        <v>42768.600972222222</v>
      </c>
      <c r="G497" s="20"/>
      <c r="H497" s="20"/>
      <c r="I497">
        <v>497</v>
      </c>
    </row>
    <row r="498" spans="1:9" ht="51" x14ac:dyDescent="0.2">
      <c r="A498" s="2" t="s">
        <v>170</v>
      </c>
      <c r="B498" s="2" t="s">
        <v>83</v>
      </c>
      <c r="C498" s="20">
        <v>42768.600393518522</v>
      </c>
      <c r="D498" s="2" t="s">
        <v>6</v>
      </c>
      <c r="E498" s="2" t="s">
        <v>77</v>
      </c>
      <c r="F498" s="20">
        <v>42768.622800925928</v>
      </c>
      <c r="G498" s="20"/>
      <c r="H498" s="20"/>
      <c r="I498">
        <v>498</v>
      </c>
    </row>
    <row r="499" spans="1:9" ht="25.5" x14ac:dyDescent="0.2">
      <c r="A499" s="2" t="s">
        <v>170</v>
      </c>
      <c r="B499" s="2" t="s">
        <v>83</v>
      </c>
      <c r="C499" s="20">
        <v>42768.600393518522</v>
      </c>
      <c r="D499" s="2" t="s">
        <v>5</v>
      </c>
      <c r="E499" s="2" t="s">
        <v>69</v>
      </c>
      <c r="F499" s="20">
        <v>42772.432696759257</v>
      </c>
      <c r="G499" s="20"/>
      <c r="H499" s="20"/>
      <c r="I499">
        <v>499</v>
      </c>
    </row>
    <row r="500" spans="1:9" ht="63.75" x14ac:dyDescent="0.2">
      <c r="A500" s="2" t="s">
        <v>170</v>
      </c>
      <c r="B500" s="2" t="s">
        <v>83</v>
      </c>
      <c r="C500" s="20">
        <v>42768.600393518522</v>
      </c>
      <c r="D500" s="2" t="s">
        <v>6</v>
      </c>
      <c r="E500" s="2" t="s">
        <v>145</v>
      </c>
      <c r="F500" s="20">
        <v>42772.531157407408</v>
      </c>
      <c r="G500" s="20"/>
      <c r="H500" s="20"/>
      <c r="I500">
        <v>500</v>
      </c>
    </row>
    <row r="501" spans="1:9" ht="25.5" x14ac:dyDescent="0.2">
      <c r="A501" s="2" t="s">
        <v>170</v>
      </c>
      <c r="B501" s="2" t="s">
        <v>83</v>
      </c>
      <c r="C501" s="20">
        <v>42768.600393518522</v>
      </c>
      <c r="D501" s="2" t="s">
        <v>5</v>
      </c>
      <c r="E501" s="2" t="s">
        <v>144</v>
      </c>
      <c r="F501" s="20">
        <v>42773.559537037036</v>
      </c>
      <c r="G501" s="20"/>
      <c r="H501" s="20"/>
      <c r="I501">
        <v>501</v>
      </c>
    </row>
    <row r="502" spans="1:9" ht="63.75" x14ac:dyDescent="0.2">
      <c r="A502" s="2" t="s">
        <v>170</v>
      </c>
      <c r="B502" s="2" t="s">
        <v>83</v>
      </c>
      <c r="C502" s="20">
        <v>42768.600393518522</v>
      </c>
      <c r="D502" s="2" t="s">
        <v>6</v>
      </c>
      <c r="E502" s="2" t="s">
        <v>142</v>
      </c>
      <c r="F502" s="20">
        <v>42773.559537037036</v>
      </c>
      <c r="G502" s="20"/>
      <c r="H502" s="20"/>
      <c r="I502">
        <v>502</v>
      </c>
    </row>
    <row r="503" spans="1:9" ht="25.5" x14ac:dyDescent="0.2">
      <c r="A503" s="2" t="s">
        <v>169</v>
      </c>
      <c r="B503" s="2" t="s">
        <v>83</v>
      </c>
      <c r="C503" s="20">
        <v>42768.648252314815</v>
      </c>
      <c r="D503" s="2" t="s">
        <v>5</v>
      </c>
      <c r="E503" s="2" t="s">
        <v>40</v>
      </c>
      <c r="F503" s="20">
        <v>42768.648298611108</v>
      </c>
      <c r="G503" s="20"/>
      <c r="H503" s="20"/>
      <c r="I503">
        <v>503</v>
      </c>
    </row>
    <row r="504" spans="1:9" ht="25.5" x14ac:dyDescent="0.2">
      <c r="A504" s="2" t="s">
        <v>169</v>
      </c>
      <c r="B504" s="2" t="s">
        <v>83</v>
      </c>
      <c r="C504" s="20">
        <v>42768.648252314815</v>
      </c>
      <c r="D504" s="2" t="s">
        <v>5</v>
      </c>
      <c r="E504" s="2" t="s">
        <v>39</v>
      </c>
      <c r="F504" s="20">
        <v>42768.648761574077</v>
      </c>
      <c r="G504" s="20"/>
      <c r="H504" s="20"/>
      <c r="I504">
        <v>504</v>
      </c>
    </row>
    <row r="505" spans="1:9" ht="51" x14ac:dyDescent="0.2">
      <c r="A505" s="2" t="s">
        <v>169</v>
      </c>
      <c r="B505" s="2" t="s">
        <v>83</v>
      </c>
      <c r="C505" s="20">
        <v>42768.648252314815</v>
      </c>
      <c r="D505" s="2" t="s">
        <v>6</v>
      </c>
      <c r="E505" s="2" t="s">
        <v>77</v>
      </c>
      <c r="F505" s="20">
        <v>42768.661944444444</v>
      </c>
      <c r="G505" s="20"/>
      <c r="H505" s="20"/>
      <c r="I505">
        <v>505</v>
      </c>
    </row>
    <row r="506" spans="1:9" ht="25.5" x14ac:dyDescent="0.2">
      <c r="A506" s="2" t="s">
        <v>169</v>
      </c>
      <c r="B506" s="2" t="s">
        <v>83</v>
      </c>
      <c r="C506" s="20">
        <v>42768.648252314815</v>
      </c>
      <c r="D506" s="2" t="s">
        <v>5</v>
      </c>
      <c r="E506" s="2" t="s">
        <v>69</v>
      </c>
      <c r="F506" s="20">
        <v>42769.390347222223</v>
      </c>
      <c r="G506" s="20"/>
      <c r="H506" s="20"/>
      <c r="I506">
        <v>506</v>
      </c>
    </row>
    <row r="507" spans="1:9" ht="51" x14ac:dyDescent="0.2">
      <c r="A507" s="2" t="s">
        <v>169</v>
      </c>
      <c r="B507" s="2" t="s">
        <v>83</v>
      </c>
      <c r="C507" s="20">
        <v>42768.648252314815</v>
      </c>
      <c r="D507" s="2" t="s">
        <v>6</v>
      </c>
      <c r="E507" s="2" t="s">
        <v>105</v>
      </c>
      <c r="F507" s="20">
        <v>42769.391516203701</v>
      </c>
      <c r="G507" s="20"/>
      <c r="H507" s="20"/>
      <c r="I507">
        <v>507</v>
      </c>
    </row>
    <row r="508" spans="1:9" ht="25.5" x14ac:dyDescent="0.2">
      <c r="A508" s="2" t="s">
        <v>168</v>
      </c>
      <c r="B508" s="2" t="s">
        <v>37</v>
      </c>
      <c r="C508" s="20">
        <v>42769.408449074072</v>
      </c>
      <c r="D508" s="2" t="s">
        <v>5</v>
      </c>
      <c r="E508" s="2" t="s">
        <v>40</v>
      </c>
      <c r="F508" s="20">
        <v>42769.408472222225</v>
      </c>
      <c r="G508" s="20"/>
      <c r="H508" s="20"/>
      <c r="I508">
        <v>508</v>
      </c>
    </row>
    <row r="509" spans="1:9" ht="25.5" x14ac:dyDescent="0.2">
      <c r="A509" s="2" t="s">
        <v>168</v>
      </c>
      <c r="B509" s="2" t="s">
        <v>37</v>
      </c>
      <c r="C509" s="20">
        <v>42769.408449074072</v>
      </c>
      <c r="D509" s="2" t="s">
        <v>5</v>
      </c>
      <c r="E509" s="2" t="s">
        <v>39</v>
      </c>
      <c r="F509" s="20">
        <v>42769.408738425926</v>
      </c>
      <c r="G509" s="20"/>
      <c r="H509" s="20"/>
      <c r="I509">
        <v>509</v>
      </c>
    </row>
    <row r="510" spans="1:9" ht="25.5" x14ac:dyDescent="0.2">
      <c r="A510" s="2" t="s">
        <v>168</v>
      </c>
      <c r="B510" s="2" t="s">
        <v>37</v>
      </c>
      <c r="C510" s="20">
        <v>42769.408449074072</v>
      </c>
      <c r="D510" s="2" t="s">
        <v>5</v>
      </c>
      <c r="E510" s="2" t="s">
        <v>71</v>
      </c>
      <c r="F510" s="20">
        <v>42769.416273148148</v>
      </c>
      <c r="G510" s="20"/>
      <c r="H510" s="20"/>
      <c r="I510">
        <v>510</v>
      </c>
    </row>
    <row r="511" spans="1:9" ht="63.75" x14ac:dyDescent="0.2">
      <c r="A511" s="2" t="s">
        <v>168</v>
      </c>
      <c r="B511" s="2" t="s">
        <v>37</v>
      </c>
      <c r="C511" s="20">
        <v>42769.408449074072</v>
      </c>
      <c r="D511" s="2" t="s">
        <v>6</v>
      </c>
      <c r="E511" s="2" t="s">
        <v>102</v>
      </c>
      <c r="F511" s="20">
        <v>42773.473553240743</v>
      </c>
      <c r="G511" s="20"/>
      <c r="H511" s="20"/>
      <c r="I511">
        <v>511</v>
      </c>
    </row>
    <row r="512" spans="1:9" ht="25.5" x14ac:dyDescent="0.2">
      <c r="A512" s="2" t="s">
        <v>167</v>
      </c>
      <c r="B512" s="2" t="s">
        <v>37</v>
      </c>
      <c r="C512" s="20">
        <v>42769.659629629627</v>
      </c>
      <c r="D512" s="2" t="s">
        <v>5</v>
      </c>
      <c r="E512" s="2" t="s">
        <v>40</v>
      </c>
      <c r="F512" s="20">
        <v>42769.659699074073</v>
      </c>
      <c r="G512" s="20"/>
      <c r="H512" s="20"/>
      <c r="I512">
        <v>512</v>
      </c>
    </row>
    <row r="513" spans="1:9" ht="25.5" x14ac:dyDescent="0.2">
      <c r="A513" s="2" t="s">
        <v>167</v>
      </c>
      <c r="B513" s="2" t="s">
        <v>37</v>
      </c>
      <c r="C513" s="20">
        <v>42769.659629629627</v>
      </c>
      <c r="D513" s="2" t="s">
        <v>5</v>
      </c>
      <c r="E513" s="2" t="s">
        <v>69</v>
      </c>
      <c r="F513" s="20">
        <v>42769.670752314814</v>
      </c>
      <c r="G513" s="20"/>
      <c r="H513" s="20"/>
      <c r="I513">
        <v>513</v>
      </c>
    </row>
    <row r="514" spans="1:9" ht="51" x14ac:dyDescent="0.2">
      <c r="A514" s="2" t="s">
        <v>167</v>
      </c>
      <c r="B514" s="2" t="s">
        <v>37</v>
      </c>
      <c r="C514" s="20">
        <v>42769.659629629627</v>
      </c>
      <c r="D514" s="2" t="s">
        <v>6</v>
      </c>
      <c r="E514" s="2" t="s">
        <v>105</v>
      </c>
      <c r="F514" s="20">
        <v>42769.674768518518</v>
      </c>
      <c r="G514" s="20"/>
      <c r="H514" s="20"/>
      <c r="I514">
        <v>514</v>
      </c>
    </row>
    <row r="515" spans="1:9" ht="25.5" x14ac:dyDescent="0.2">
      <c r="A515" s="2" t="s">
        <v>166</v>
      </c>
      <c r="B515" s="2" t="s">
        <v>83</v>
      </c>
      <c r="C515" s="20">
        <v>42769.687106481484</v>
      </c>
      <c r="D515" s="2" t="s">
        <v>5</v>
      </c>
      <c r="E515" s="2" t="s">
        <v>40</v>
      </c>
      <c r="F515" s="20">
        <v>42769.687164351853</v>
      </c>
      <c r="G515" s="20"/>
      <c r="H515" s="20"/>
      <c r="I515">
        <v>515</v>
      </c>
    </row>
    <row r="516" spans="1:9" ht="63.75" x14ac:dyDescent="0.2">
      <c r="A516" s="2" t="s">
        <v>166</v>
      </c>
      <c r="B516" s="2" t="s">
        <v>83</v>
      </c>
      <c r="C516" s="20">
        <v>42769.687106481484</v>
      </c>
      <c r="D516" s="2" t="s">
        <v>6</v>
      </c>
      <c r="E516" s="2" t="s">
        <v>115</v>
      </c>
      <c r="F516" s="20">
        <v>42769.708333333336</v>
      </c>
      <c r="G516" s="20"/>
      <c r="H516" s="20"/>
      <c r="I516">
        <v>516</v>
      </c>
    </row>
    <row r="517" spans="1:9" ht="25.5" x14ac:dyDescent="0.2">
      <c r="A517" s="2" t="s">
        <v>166</v>
      </c>
      <c r="B517" s="2" t="s">
        <v>83</v>
      </c>
      <c r="C517" s="20">
        <v>42769.687106481484</v>
      </c>
      <c r="D517" s="2" t="s">
        <v>5</v>
      </c>
      <c r="E517" s="2" t="s">
        <v>39</v>
      </c>
      <c r="F517" s="20">
        <v>42769.708344907405</v>
      </c>
      <c r="G517" s="20"/>
      <c r="H517" s="20"/>
      <c r="I517">
        <v>517</v>
      </c>
    </row>
    <row r="518" spans="1:9" ht="25.5" x14ac:dyDescent="0.2">
      <c r="A518" s="2" t="s">
        <v>166</v>
      </c>
      <c r="B518" s="2" t="s">
        <v>83</v>
      </c>
      <c r="C518" s="20">
        <v>42769.687106481484</v>
      </c>
      <c r="D518" s="2" t="s">
        <v>5</v>
      </c>
      <c r="E518" s="2" t="s">
        <v>69</v>
      </c>
      <c r="F518" s="20">
        <v>42769.719398148147</v>
      </c>
      <c r="G518" s="20"/>
      <c r="H518" s="20"/>
      <c r="I518">
        <v>518</v>
      </c>
    </row>
    <row r="519" spans="1:9" ht="63.75" x14ac:dyDescent="0.2">
      <c r="A519" s="2" t="s">
        <v>166</v>
      </c>
      <c r="B519" s="2" t="s">
        <v>83</v>
      </c>
      <c r="C519" s="20">
        <v>42769.687106481484</v>
      </c>
      <c r="D519" s="2" t="s">
        <v>6</v>
      </c>
      <c r="E519" s="2" t="s">
        <v>145</v>
      </c>
      <c r="F519" s="20">
        <v>42769.728541666664</v>
      </c>
      <c r="G519" s="20"/>
      <c r="H519" s="20"/>
      <c r="I519">
        <v>519</v>
      </c>
    </row>
    <row r="520" spans="1:9" ht="25.5" x14ac:dyDescent="0.2">
      <c r="A520" s="2" t="s">
        <v>166</v>
      </c>
      <c r="B520" s="2" t="s">
        <v>83</v>
      </c>
      <c r="C520" s="20">
        <v>42769.687106481484</v>
      </c>
      <c r="D520" s="2" t="s">
        <v>5</v>
      </c>
      <c r="E520" s="2" t="s">
        <v>144</v>
      </c>
      <c r="F520" s="20">
        <v>42774.795486111114</v>
      </c>
      <c r="G520" s="20"/>
      <c r="H520" s="20"/>
      <c r="I520">
        <v>520</v>
      </c>
    </row>
    <row r="521" spans="1:9" ht="63.75" x14ac:dyDescent="0.2">
      <c r="A521" s="2" t="s">
        <v>166</v>
      </c>
      <c r="B521" s="2" t="s">
        <v>83</v>
      </c>
      <c r="C521" s="20">
        <v>42769.687106481484</v>
      </c>
      <c r="D521" s="2" t="s">
        <v>6</v>
      </c>
      <c r="E521" s="2" t="s">
        <v>142</v>
      </c>
      <c r="F521" s="20">
        <v>42774.795486111114</v>
      </c>
      <c r="G521" s="20"/>
      <c r="H521" s="20"/>
      <c r="I521">
        <v>521</v>
      </c>
    </row>
    <row r="522" spans="1:9" ht="25.5" x14ac:dyDescent="0.2">
      <c r="A522" s="2" t="s">
        <v>165</v>
      </c>
      <c r="B522" s="2" t="s">
        <v>37</v>
      </c>
      <c r="C522" s="20">
        <v>42772.328252314815</v>
      </c>
      <c r="D522" s="2" t="s">
        <v>5</v>
      </c>
      <c r="E522" s="2" t="s">
        <v>40</v>
      </c>
      <c r="F522" s="20">
        <v>42772.328263888892</v>
      </c>
      <c r="G522" s="20"/>
      <c r="H522" s="20"/>
      <c r="I522">
        <v>522</v>
      </c>
    </row>
    <row r="523" spans="1:9" ht="25.5" x14ac:dyDescent="0.2">
      <c r="A523" s="2" t="s">
        <v>165</v>
      </c>
      <c r="B523" s="2" t="s">
        <v>37</v>
      </c>
      <c r="C523" s="20">
        <v>42772.328252314815</v>
      </c>
      <c r="D523" s="2" t="s">
        <v>5</v>
      </c>
      <c r="E523" s="2" t="s">
        <v>39</v>
      </c>
      <c r="F523" s="20">
        <v>42772.332442129627</v>
      </c>
      <c r="G523" s="20"/>
      <c r="H523" s="20"/>
      <c r="I523">
        <v>523</v>
      </c>
    </row>
    <row r="524" spans="1:9" ht="63.75" x14ac:dyDescent="0.2">
      <c r="A524" s="2" t="s">
        <v>165</v>
      </c>
      <c r="B524" s="2" t="s">
        <v>37</v>
      </c>
      <c r="C524" s="20">
        <v>42772.328252314815</v>
      </c>
      <c r="D524" s="2" t="s">
        <v>6</v>
      </c>
      <c r="E524" s="2" t="s">
        <v>96</v>
      </c>
      <c r="F524" s="20">
        <v>42772.390104166669</v>
      </c>
      <c r="G524" s="20"/>
      <c r="H524" s="20"/>
      <c r="I524">
        <v>524</v>
      </c>
    </row>
    <row r="525" spans="1:9" ht="51" x14ac:dyDescent="0.2">
      <c r="A525" s="2" t="s">
        <v>165</v>
      </c>
      <c r="B525" s="2" t="s">
        <v>37</v>
      </c>
      <c r="C525" s="20">
        <v>42772.328252314815</v>
      </c>
      <c r="D525" s="2" t="s">
        <v>6</v>
      </c>
      <c r="E525" s="2" t="s">
        <v>77</v>
      </c>
      <c r="F525" s="20">
        <v>42772.390219907407</v>
      </c>
      <c r="G525" s="20"/>
      <c r="H525" s="20"/>
      <c r="I525">
        <v>525</v>
      </c>
    </row>
    <row r="526" spans="1:9" ht="63.75" x14ac:dyDescent="0.2">
      <c r="A526" s="2" t="s">
        <v>165</v>
      </c>
      <c r="B526" s="2" t="s">
        <v>37</v>
      </c>
      <c r="C526" s="20">
        <v>42772.328252314815</v>
      </c>
      <c r="D526" s="2" t="s">
        <v>6</v>
      </c>
      <c r="E526" s="2" t="s">
        <v>96</v>
      </c>
      <c r="F526" s="20">
        <v>42772.392708333333</v>
      </c>
      <c r="G526" s="20"/>
      <c r="H526" s="20"/>
      <c r="I526">
        <v>526</v>
      </c>
    </row>
    <row r="527" spans="1:9" ht="25.5" x14ac:dyDescent="0.2">
      <c r="A527" s="2" t="s">
        <v>164</v>
      </c>
      <c r="B527" s="2" t="s">
        <v>37</v>
      </c>
      <c r="C527" s="20">
        <v>42772.398958333331</v>
      </c>
      <c r="D527" s="2" t="s">
        <v>5</v>
      </c>
      <c r="E527" s="2" t="s">
        <v>40</v>
      </c>
      <c r="F527" s="20">
        <v>42772.398969907408</v>
      </c>
      <c r="G527" s="20"/>
      <c r="H527" s="20"/>
      <c r="I527">
        <v>527</v>
      </c>
    </row>
    <row r="528" spans="1:9" ht="25.5" x14ac:dyDescent="0.2">
      <c r="A528" s="2" t="s">
        <v>164</v>
      </c>
      <c r="B528" s="2" t="s">
        <v>37</v>
      </c>
      <c r="C528" s="20">
        <v>42772.398958333331</v>
      </c>
      <c r="D528" s="2" t="s">
        <v>5</v>
      </c>
      <c r="E528" s="2" t="s">
        <v>69</v>
      </c>
      <c r="F528" s="20">
        <v>42772.401284722226</v>
      </c>
      <c r="G528" s="20"/>
      <c r="H528" s="20"/>
      <c r="I528">
        <v>528</v>
      </c>
    </row>
    <row r="529" spans="1:9" ht="51" x14ac:dyDescent="0.2">
      <c r="A529" s="2" t="s">
        <v>164</v>
      </c>
      <c r="B529" s="2" t="s">
        <v>37</v>
      </c>
      <c r="C529" s="20">
        <v>42772.398958333331</v>
      </c>
      <c r="D529" s="2" t="s">
        <v>6</v>
      </c>
      <c r="E529" s="2" t="s">
        <v>105</v>
      </c>
      <c r="F529" s="20">
        <v>42772.405613425923</v>
      </c>
      <c r="G529" s="20"/>
      <c r="H529" s="20"/>
      <c r="I529">
        <v>529</v>
      </c>
    </row>
    <row r="530" spans="1:9" ht="25.5" x14ac:dyDescent="0.2">
      <c r="A530" s="2" t="s">
        <v>164</v>
      </c>
      <c r="B530" s="2" t="s">
        <v>37</v>
      </c>
      <c r="C530" s="20">
        <v>42772.398958333331</v>
      </c>
      <c r="D530" s="2" t="s">
        <v>5</v>
      </c>
      <c r="E530" s="2" t="s">
        <v>39</v>
      </c>
      <c r="F530" s="20">
        <v>42772.450578703705</v>
      </c>
      <c r="G530" s="20"/>
      <c r="H530" s="20"/>
      <c r="I530">
        <v>530</v>
      </c>
    </row>
    <row r="531" spans="1:9" ht="51" x14ac:dyDescent="0.2">
      <c r="A531" s="2" t="s">
        <v>164</v>
      </c>
      <c r="B531" s="2" t="s">
        <v>37</v>
      </c>
      <c r="C531" s="20">
        <v>42772.398958333331</v>
      </c>
      <c r="D531" s="2" t="s">
        <v>6</v>
      </c>
      <c r="E531" s="2" t="s">
        <v>77</v>
      </c>
      <c r="F531" s="20">
        <v>42772.450578703705</v>
      </c>
      <c r="G531" s="20"/>
      <c r="H531" s="20"/>
      <c r="I531">
        <v>531</v>
      </c>
    </row>
    <row r="532" spans="1:9" ht="25.5" x14ac:dyDescent="0.2">
      <c r="A532" s="2" t="s">
        <v>164</v>
      </c>
      <c r="B532" s="2" t="s">
        <v>37</v>
      </c>
      <c r="C532" s="20">
        <v>42772.398958333331</v>
      </c>
      <c r="D532" s="2" t="s">
        <v>5</v>
      </c>
      <c r="E532" s="2" t="s">
        <v>69</v>
      </c>
      <c r="F532" s="20">
        <v>42775.421157407407</v>
      </c>
      <c r="G532" s="20"/>
      <c r="H532" s="20"/>
      <c r="I532">
        <v>532</v>
      </c>
    </row>
    <row r="533" spans="1:9" ht="25.5" x14ac:dyDescent="0.2">
      <c r="A533" s="2" t="s">
        <v>164</v>
      </c>
      <c r="B533" s="2" t="s">
        <v>37</v>
      </c>
      <c r="C533" s="20">
        <v>42772.398958333331</v>
      </c>
      <c r="D533" s="2" t="s">
        <v>5</v>
      </c>
      <c r="E533" s="2" t="s">
        <v>39</v>
      </c>
      <c r="F533" s="20">
        <v>42775.562326388892</v>
      </c>
      <c r="G533" s="20"/>
      <c r="H533" s="20"/>
      <c r="I533">
        <v>533</v>
      </c>
    </row>
    <row r="534" spans="1:9" ht="63.75" x14ac:dyDescent="0.2">
      <c r="A534" s="2" t="s">
        <v>164</v>
      </c>
      <c r="B534" s="2" t="s">
        <v>37</v>
      </c>
      <c r="C534" s="20">
        <v>42772.398958333331</v>
      </c>
      <c r="D534" s="2" t="s">
        <v>6</v>
      </c>
      <c r="E534" s="2" t="s">
        <v>41</v>
      </c>
      <c r="F534" s="20">
        <v>42775.599722222221</v>
      </c>
      <c r="G534" s="20"/>
      <c r="H534" s="20"/>
      <c r="I534">
        <v>534</v>
      </c>
    </row>
    <row r="535" spans="1:9" ht="25.5" x14ac:dyDescent="0.2">
      <c r="A535" s="2" t="s">
        <v>163</v>
      </c>
      <c r="B535" s="2" t="s">
        <v>37</v>
      </c>
      <c r="C535" s="20">
        <v>42772.452638888892</v>
      </c>
      <c r="D535" s="2" t="s">
        <v>5</v>
      </c>
      <c r="E535" s="2" t="s">
        <v>40</v>
      </c>
      <c r="F535" s="20">
        <v>42772.452685185184</v>
      </c>
      <c r="G535" s="20"/>
      <c r="H535" s="20"/>
      <c r="I535">
        <v>535</v>
      </c>
    </row>
    <row r="536" spans="1:9" ht="25.5" x14ac:dyDescent="0.2">
      <c r="A536" s="2" t="s">
        <v>163</v>
      </c>
      <c r="B536" s="2" t="s">
        <v>37</v>
      </c>
      <c r="C536" s="20">
        <v>42772.452638888892</v>
      </c>
      <c r="D536" s="2" t="s">
        <v>5</v>
      </c>
      <c r="E536" s="2" t="s">
        <v>39</v>
      </c>
      <c r="F536" s="20">
        <v>42772.452951388892</v>
      </c>
      <c r="G536" s="20"/>
      <c r="H536" s="20"/>
      <c r="I536">
        <v>536</v>
      </c>
    </row>
    <row r="537" spans="1:9" ht="63.75" x14ac:dyDescent="0.2">
      <c r="A537" s="2" t="s">
        <v>163</v>
      </c>
      <c r="B537" s="2" t="s">
        <v>37</v>
      </c>
      <c r="C537" s="20">
        <v>42772.452638888892</v>
      </c>
      <c r="D537" s="2" t="s">
        <v>6</v>
      </c>
      <c r="E537" s="2" t="s">
        <v>96</v>
      </c>
      <c r="F537" s="20">
        <v>42772.539490740739</v>
      </c>
      <c r="G537" s="20"/>
      <c r="H537" s="20"/>
      <c r="I537">
        <v>537</v>
      </c>
    </row>
    <row r="538" spans="1:9" ht="25.5" x14ac:dyDescent="0.2">
      <c r="A538" s="2" t="s">
        <v>163</v>
      </c>
      <c r="B538" s="2" t="s">
        <v>37</v>
      </c>
      <c r="C538" s="20">
        <v>42772.452638888892</v>
      </c>
      <c r="D538" s="2" t="s">
        <v>5</v>
      </c>
      <c r="E538" s="2" t="s">
        <v>135</v>
      </c>
      <c r="F538" s="20">
        <v>42772.570208333331</v>
      </c>
      <c r="G538" s="20"/>
      <c r="H538" s="20"/>
      <c r="I538">
        <v>538</v>
      </c>
    </row>
    <row r="539" spans="1:9" ht="25.5" x14ac:dyDescent="0.2">
      <c r="A539" s="2" t="s">
        <v>162</v>
      </c>
      <c r="B539" s="2" t="s">
        <v>83</v>
      </c>
      <c r="C539" s="20">
        <v>42772.513680555552</v>
      </c>
      <c r="D539" s="2" t="s">
        <v>5</v>
      </c>
      <c r="E539" s="2" t="s">
        <v>40</v>
      </c>
      <c r="F539" s="20">
        <v>42772.513715277775</v>
      </c>
      <c r="G539" s="20"/>
      <c r="H539" s="20"/>
      <c r="I539">
        <v>539</v>
      </c>
    </row>
    <row r="540" spans="1:9" ht="25.5" x14ac:dyDescent="0.2">
      <c r="A540" s="2" t="s">
        <v>162</v>
      </c>
      <c r="B540" s="2" t="s">
        <v>83</v>
      </c>
      <c r="C540" s="20">
        <v>42772.513680555552</v>
      </c>
      <c r="D540" s="2" t="s">
        <v>5</v>
      </c>
      <c r="E540" s="2" t="s">
        <v>39</v>
      </c>
      <c r="F540" s="20">
        <v>42772.514143518521</v>
      </c>
      <c r="G540" s="20"/>
      <c r="H540" s="20"/>
      <c r="I540">
        <v>540</v>
      </c>
    </row>
    <row r="541" spans="1:9" ht="63.75" x14ac:dyDescent="0.2">
      <c r="A541" s="2" t="s">
        <v>162</v>
      </c>
      <c r="B541" s="2" t="s">
        <v>83</v>
      </c>
      <c r="C541" s="20">
        <v>42772.513680555552</v>
      </c>
      <c r="D541" s="2" t="s">
        <v>6</v>
      </c>
      <c r="E541" s="2" t="s">
        <v>96</v>
      </c>
      <c r="F541" s="20">
        <v>42772.562986111108</v>
      </c>
      <c r="G541" s="20"/>
      <c r="H541" s="20"/>
      <c r="I541">
        <v>541</v>
      </c>
    </row>
    <row r="542" spans="1:9" ht="25.5" x14ac:dyDescent="0.2">
      <c r="A542" s="2" t="s">
        <v>162</v>
      </c>
      <c r="B542" s="2" t="s">
        <v>83</v>
      </c>
      <c r="C542" s="20">
        <v>42772.513680555552</v>
      </c>
      <c r="D542" s="2" t="s">
        <v>5</v>
      </c>
      <c r="E542" s="2" t="s">
        <v>69</v>
      </c>
      <c r="F542" s="20">
        <v>42772.563784722224</v>
      </c>
      <c r="G542" s="20"/>
      <c r="H542" s="20"/>
      <c r="I542">
        <v>542</v>
      </c>
    </row>
    <row r="543" spans="1:9" ht="51" x14ac:dyDescent="0.2">
      <c r="A543" s="2" t="s">
        <v>162</v>
      </c>
      <c r="B543" s="2" t="s">
        <v>83</v>
      </c>
      <c r="C543" s="20">
        <v>42772.513680555552</v>
      </c>
      <c r="D543" s="2" t="s">
        <v>6</v>
      </c>
      <c r="E543" s="2" t="s">
        <v>105</v>
      </c>
      <c r="F543" s="20">
        <v>42772.633449074077</v>
      </c>
      <c r="G543" s="20"/>
      <c r="H543" s="20"/>
      <c r="I543">
        <v>543</v>
      </c>
    </row>
    <row r="544" spans="1:9" ht="63.75" x14ac:dyDescent="0.2">
      <c r="A544" s="2" t="s">
        <v>162</v>
      </c>
      <c r="B544" s="2" t="s">
        <v>83</v>
      </c>
      <c r="C544" s="20">
        <v>42772.513680555552</v>
      </c>
      <c r="D544" s="2" t="s">
        <v>6</v>
      </c>
      <c r="E544" s="2" t="s">
        <v>85</v>
      </c>
      <c r="F544" s="20">
        <v>42775.53197916667</v>
      </c>
      <c r="G544" s="20"/>
      <c r="H544" s="20"/>
      <c r="I544">
        <v>544</v>
      </c>
    </row>
    <row r="545" spans="1:9" ht="25.5" x14ac:dyDescent="0.2">
      <c r="A545" s="2" t="s">
        <v>161</v>
      </c>
      <c r="B545" s="2" t="s">
        <v>83</v>
      </c>
      <c r="C545" s="20">
        <v>42772.552928240744</v>
      </c>
      <c r="D545" s="2" t="s">
        <v>5</v>
      </c>
      <c r="E545" s="2" t="s">
        <v>40</v>
      </c>
      <c r="F545" s="20">
        <v>42772.55296296296</v>
      </c>
      <c r="G545" s="20"/>
      <c r="H545" s="20"/>
      <c r="I545">
        <v>545</v>
      </c>
    </row>
    <row r="546" spans="1:9" ht="25.5" x14ac:dyDescent="0.2">
      <c r="A546" s="2" t="s">
        <v>161</v>
      </c>
      <c r="B546" s="2" t="s">
        <v>83</v>
      </c>
      <c r="C546" s="20">
        <v>42772.552928240744</v>
      </c>
      <c r="D546" s="2" t="s">
        <v>5</v>
      </c>
      <c r="E546" s="2" t="s">
        <v>39</v>
      </c>
      <c r="F546" s="20">
        <v>42772.553136574075</v>
      </c>
      <c r="G546" s="20"/>
      <c r="H546" s="20"/>
      <c r="I546">
        <v>546</v>
      </c>
    </row>
    <row r="547" spans="1:9" ht="51" x14ac:dyDescent="0.2">
      <c r="A547" s="2" t="s">
        <v>161</v>
      </c>
      <c r="B547" s="2" t="s">
        <v>83</v>
      </c>
      <c r="C547" s="20">
        <v>42772.552928240744</v>
      </c>
      <c r="D547" s="2" t="s">
        <v>6</v>
      </c>
      <c r="E547" s="2" t="s">
        <v>77</v>
      </c>
      <c r="F547" s="20">
        <v>42772.567997685182</v>
      </c>
      <c r="G547" s="20"/>
      <c r="H547" s="20"/>
      <c r="I547">
        <v>547</v>
      </c>
    </row>
    <row r="548" spans="1:9" ht="25.5" x14ac:dyDescent="0.2">
      <c r="A548" s="2" t="s">
        <v>161</v>
      </c>
      <c r="B548" s="2" t="s">
        <v>83</v>
      </c>
      <c r="C548" s="20">
        <v>42772.552928240744</v>
      </c>
      <c r="D548" s="2" t="s">
        <v>5</v>
      </c>
      <c r="E548" s="2" t="s">
        <v>69</v>
      </c>
      <c r="F548" s="20">
        <v>42776.359618055554</v>
      </c>
      <c r="G548" s="20"/>
      <c r="H548" s="20"/>
      <c r="I548">
        <v>548</v>
      </c>
    </row>
    <row r="549" spans="1:9" ht="63.75" x14ac:dyDescent="0.2">
      <c r="A549" s="2" t="s">
        <v>161</v>
      </c>
      <c r="B549" s="2" t="s">
        <v>83</v>
      </c>
      <c r="C549" s="20">
        <v>42772.552928240744</v>
      </c>
      <c r="D549" s="2" t="s">
        <v>6</v>
      </c>
      <c r="E549" s="2" t="s">
        <v>67</v>
      </c>
      <c r="F549" s="20">
        <v>42776.381377314814</v>
      </c>
      <c r="G549" s="20"/>
      <c r="H549" s="20"/>
      <c r="I549">
        <v>549</v>
      </c>
    </row>
    <row r="550" spans="1:9" ht="25.5" x14ac:dyDescent="0.2">
      <c r="A550" s="2" t="s">
        <v>160</v>
      </c>
      <c r="B550" s="2" t="s">
        <v>37</v>
      </c>
      <c r="C550" s="20">
        <v>42772.613171296296</v>
      </c>
      <c r="D550" s="2" t="s">
        <v>5</v>
      </c>
      <c r="E550" s="2" t="s">
        <v>40</v>
      </c>
      <c r="F550" s="20">
        <v>42772.613182870373</v>
      </c>
      <c r="G550" s="20">
        <v>42774.74496527778</v>
      </c>
      <c r="H550" s="20"/>
      <c r="I550">
        <v>550</v>
      </c>
    </row>
    <row r="551" spans="1:9" ht="25.5" x14ac:dyDescent="0.2">
      <c r="A551" s="2" t="s">
        <v>160</v>
      </c>
      <c r="B551" s="2" t="s">
        <v>37</v>
      </c>
      <c r="C551" s="20">
        <v>42772.613171296296</v>
      </c>
      <c r="D551" s="2" t="s">
        <v>5</v>
      </c>
      <c r="E551" s="2" t="s">
        <v>69</v>
      </c>
      <c r="F551" s="20">
        <v>42772.614340277774</v>
      </c>
      <c r="G551" s="20">
        <v>42774.74496527778</v>
      </c>
      <c r="H551" s="20"/>
      <c r="I551">
        <v>551</v>
      </c>
    </row>
    <row r="552" spans="1:9" ht="63.75" x14ac:dyDescent="0.2">
      <c r="A552" s="2" t="s">
        <v>160</v>
      </c>
      <c r="B552" s="2" t="s">
        <v>37</v>
      </c>
      <c r="C552" s="20">
        <v>42772.613171296296</v>
      </c>
      <c r="D552" s="2" t="s">
        <v>6</v>
      </c>
      <c r="E552" s="2" t="s">
        <v>145</v>
      </c>
      <c r="F552" s="20">
        <v>42772.733773148146</v>
      </c>
      <c r="G552" s="20">
        <v>42774.74496527778</v>
      </c>
      <c r="H552" s="20"/>
      <c r="I552">
        <v>552</v>
      </c>
    </row>
    <row r="553" spans="1:9" ht="25.5" x14ac:dyDescent="0.2">
      <c r="A553" s="2" t="s">
        <v>160</v>
      </c>
      <c r="B553" s="2" t="s">
        <v>37</v>
      </c>
      <c r="C553" s="20">
        <v>42772.613171296296</v>
      </c>
      <c r="D553" s="2" t="s">
        <v>5</v>
      </c>
      <c r="E553" s="2" t="s">
        <v>144</v>
      </c>
      <c r="F553" s="20">
        <v>42774.576215277775</v>
      </c>
      <c r="G553" s="20">
        <v>42774.74496527778</v>
      </c>
      <c r="H553" s="20"/>
      <c r="I553">
        <v>553</v>
      </c>
    </row>
    <row r="554" spans="1:9" ht="63.75" x14ac:dyDescent="0.2">
      <c r="A554" s="2" t="s">
        <v>160</v>
      </c>
      <c r="B554" s="2" t="s">
        <v>37</v>
      </c>
      <c r="C554" s="20">
        <v>42772.613171296296</v>
      </c>
      <c r="D554" s="2" t="s">
        <v>6</v>
      </c>
      <c r="E554" s="2" t="s">
        <v>142</v>
      </c>
      <c r="F554" s="20">
        <v>42774.576215277775</v>
      </c>
      <c r="G554" s="20">
        <v>42774.74496527778</v>
      </c>
      <c r="H554" s="20"/>
      <c r="I554">
        <v>554</v>
      </c>
    </row>
    <row r="555" spans="1:9" ht="25.5" x14ac:dyDescent="0.2">
      <c r="A555" s="2" t="s">
        <v>159</v>
      </c>
      <c r="B555" s="2" t="s">
        <v>83</v>
      </c>
      <c r="C555" s="20">
        <v>42772.62358796296</v>
      </c>
      <c r="D555" s="2" t="s">
        <v>5</v>
      </c>
      <c r="E555" s="2" t="s">
        <v>40</v>
      </c>
      <c r="F555" s="20">
        <v>42772.62363425926</v>
      </c>
      <c r="G555" s="20"/>
      <c r="H555" s="20"/>
      <c r="I555">
        <v>555</v>
      </c>
    </row>
    <row r="556" spans="1:9" ht="25.5" x14ac:dyDescent="0.2">
      <c r="A556" s="2" t="s">
        <v>159</v>
      </c>
      <c r="B556" s="2" t="s">
        <v>83</v>
      </c>
      <c r="C556" s="20">
        <v>42772.62358796296</v>
      </c>
      <c r="D556" s="2" t="s">
        <v>5</v>
      </c>
      <c r="E556" s="2" t="s">
        <v>69</v>
      </c>
      <c r="F556" s="20">
        <v>42772.632118055553</v>
      </c>
      <c r="G556" s="20"/>
      <c r="H556" s="20"/>
      <c r="I556">
        <v>556</v>
      </c>
    </row>
    <row r="557" spans="1:9" ht="63.75" x14ac:dyDescent="0.2">
      <c r="A557" s="2" t="s">
        <v>159</v>
      </c>
      <c r="B557" s="2" t="s">
        <v>83</v>
      </c>
      <c r="C557" s="20">
        <v>42772.62358796296</v>
      </c>
      <c r="D557" s="2" t="s">
        <v>6</v>
      </c>
      <c r="E557" s="2" t="s">
        <v>67</v>
      </c>
      <c r="F557" s="20">
        <v>42772.666747685187</v>
      </c>
      <c r="G557" s="20"/>
      <c r="H557" s="20"/>
      <c r="I557">
        <v>557</v>
      </c>
    </row>
    <row r="558" spans="1:9" ht="25.5" x14ac:dyDescent="0.2">
      <c r="A558" s="2" t="s">
        <v>158</v>
      </c>
      <c r="B558" s="2" t="s">
        <v>37</v>
      </c>
      <c r="C558" s="20">
        <v>42772.630740740744</v>
      </c>
      <c r="D558" s="2" t="s">
        <v>5</v>
      </c>
      <c r="E558" s="2" t="s">
        <v>40</v>
      </c>
      <c r="F558" s="20">
        <v>42772.630856481483</v>
      </c>
      <c r="G558" s="20"/>
      <c r="H558" s="20"/>
      <c r="I558">
        <v>558</v>
      </c>
    </row>
    <row r="559" spans="1:9" ht="25.5" x14ac:dyDescent="0.2">
      <c r="A559" s="2" t="s">
        <v>158</v>
      </c>
      <c r="B559" s="2" t="s">
        <v>37</v>
      </c>
      <c r="C559" s="20">
        <v>42772.630740740744</v>
      </c>
      <c r="D559" s="2" t="s">
        <v>5</v>
      </c>
      <c r="E559" s="2" t="s">
        <v>39</v>
      </c>
      <c r="F559" s="20">
        <v>42772.642083333332</v>
      </c>
      <c r="G559" s="20"/>
      <c r="H559" s="20"/>
      <c r="I559">
        <v>559</v>
      </c>
    </row>
    <row r="560" spans="1:9" ht="63.75" x14ac:dyDescent="0.2">
      <c r="A560" s="2" t="s">
        <v>158</v>
      </c>
      <c r="B560" s="2" t="s">
        <v>37</v>
      </c>
      <c r="C560" s="20">
        <v>42772.630740740744</v>
      </c>
      <c r="D560" s="2" t="s">
        <v>6</v>
      </c>
      <c r="E560" s="2" t="s">
        <v>43</v>
      </c>
      <c r="F560" s="20">
        <v>42772.642083333332</v>
      </c>
      <c r="G560" s="20"/>
      <c r="H560" s="20"/>
      <c r="I560">
        <v>560</v>
      </c>
    </row>
    <row r="561" spans="1:9" ht="25.5" x14ac:dyDescent="0.2">
      <c r="A561" s="2" t="s">
        <v>157</v>
      </c>
      <c r="B561" s="2" t="s">
        <v>37</v>
      </c>
      <c r="C561" s="20">
        <v>42772.651331018518</v>
      </c>
      <c r="D561" s="2" t="s">
        <v>5</v>
      </c>
      <c r="E561" s="2" t="s">
        <v>40</v>
      </c>
      <c r="F561" s="20">
        <v>42772.651354166665</v>
      </c>
      <c r="G561" s="20"/>
      <c r="H561" s="20"/>
      <c r="I561">
        <v>561</v>
      </c>
    </row>
    <row r="562" spans="1:9" ht="25.5" x14ac:dyDescent="0.2">
      <c r="A562" s="2" t="s">
        <v>157</v>
      </c>
      <c r="B562" s="2" t="s">
        <v>37</v>
      </c>
      <c r="C562" s="20">
        <v>42772.651331018518</v>
      </c>
      <c r="D562" s="2" t="s">
        <v>5</v>
      </c>
      <c r="E562" s="2" t="s">
        <v>39</v>
      </c>
      <c r="F562" s="20">
        <v>42772.653553240743</v>
      </c>
      <c r="G562" s="20"/>
      <c r="H562" s="20"/>
      <c r="I562">
        <v>562</v>
      </c>
    </row>
    <row r="563" spans="1:9" ht="63.75" x14ac:dyDescent="0.2">
      <c r="A563" s="2" t="s">
        <v>157</v>
      </c>
      <c r="B563" s="2" t="s">
        <v>37</v>
      </c>
      <c r="C563" s="20">
        <v>42772.651331018518</v>
      </c>
      <c r="D563" s="2" t="s">
        <v>6</v>
      </c>
      <c r="E563" s="2" t="s">
        <v>47</v>
      </c>
      <c r="F563" s="20">
        <v>42772.653553240743</v>
      </c>
      <c r="G563" s="20"/>
      <c r="H563" s="20"/>
      <c r="I563">
        <v>563</v>
      </c>
    </row>
    <row r="564" spans="1:9" ht="25.5" x14ac:dyDescent="0.2">
      <c r="A564" s="2" t="s">
        <v>156</v>
      </c>
      <c r="B564" s="2" t="s">
        <v>37</v>
      </c>
      <c r="C564" s="20">
        <v>42772.656192129631</v>
      </c>
      <c r="D564" s="2" t="s">
        <v>5</v>
      </c>
      <c r="E564" s="2" t="s">
        <v>40</v>
      </c>
      <c r="F564" s="20">
        <v>42772.656215277777</v>
      </c>
      <c r="G564" s="20"/>
      <c r="H564" s="20"/>
      <c r="I564">
        <v>564</v>
      </c>
    </row>
    <row r="565" spans="1:9" ht="25.5" x14ac:dyDescent="0.2">
      <c r="A565" s="2" t="s">
        <v>156</v>
      </c>
      <c r="B565" s="2" t="s">
        <v>37</v>
      </c>
      <c r="C565" s="20">
        <v>42772.656192129631</v>
      </c>
      <c r="D565" s="2" t="s">
        <v>5</v>
      </c>
      <c r="E565" s="2" t="s">
        <v>39</v>
      </c>
      <c r="F565" s="20">
        <v>42772.668032407404</v>
      </c>
      <c r="G565" s="20"/>
      <c r="H565" s="20"/>
      <c r="I565">
        <v>565</v>
      </c>
    </row>
    <row r="566" spans="1:9" ht="63.75" x14ac:dyDescent="0.2">
      <c r="A566" s="2" t="s">
        <v>156</v>
      </c>
      <c r="B566" s="2" t="s">
        <v>37</v>
      </c>
      <c r="C566" s="20">
        <v>42772.656192129631</v>
      </c>
      <c r="D566" s="2" t="s">
        <v>6</v>
      </c>
      <c r="E566" s="2" t="s">
        <v>115</v>
      </c>
      <c r="F566" s="20">
        <v>42772.668032407404</v>
      </c>
      <c r="G566" s="20"/>
      <c r="H566" s="20"/>
      <c r="I566">
        <v>566</v>
      </c>
    </row>
    <row r="567" spans="1:9" ht="25.5" x14ac:dyDescent="0.2">
      <c r="A567" s="2" t="s">
        <v>155</v>
      </c>
      <c r="B567" s="2" t="s">
        <v>37</v>
      </c>
      <c r="C567" s="20">
        <v>42773.55872685185</v>
      </c>
      <c r="D567" s="2" t="s">
        <v>5</v>
      </c>
      <c r="E567" s="2" t="s">
        <v>40</v>
      </c>
      <c r="F567" s="20">
        <v>42773.558749999997</v>
      </c>
      <c r="G567" s="20"/>
      <c r="H567" s="20"/>
      <c r="I567">
        <v>567</v>
      </c>
    </row>
    <row r="568" spans="1:9" ht="25.5" x14ac:dyDescent="0.2">
      <c r="A568" s="2" t="s">
        <v>155</v>
      </c>
      <c r="B568" s="2" t="s">
        <v>37</v>
      </c>
      <c r="C568" s="20">
        <v>42773.55872685185</v>
      </c>
      <c r="D568" s="2" t="s">
        <v>5</v>
      </c>
      <c r="E568" s="2" t="s">
        <v>39</v>
      </c>
      <c r="F568" s="20">
        <v>42773.559432870374</v>
      </c>
      <c r="G568" s="20"/>
      <c r="H568" s="20"/>
      <c r="I568">
        <v>568</v>
      </c>
    </row>
    <row r="569" spans="1:9" ht="63.75" x14ac:dyDescent="0.2">
      <c r="A569" s="2" t="s">
        <v>155</v>
      </c>
      <c r="B569" s="2" t="s">
        <v>37</v>
      </c>
      <c r="C569" s="20">
        <v>42773.55872685185</v>
      </c>
      <c r="D569" s="2" t="s">
        <v>6</v>
      </c>
      <c r="E569" s="2" t="s">
        <v>60</v>
      </c>
      <c r="F569" s="20">
        <v>42773.559432870374</v>
      </c>
      <c r="G569" s="20"/>
      <c r="H569" s="20"/>
      <c r="I569">
        <v>569</v>
      </c>
    </row>
    <row r="570" spans="1:9" ht="25.5" x14ac:dyDescent="0.2">
      <c r="A570" s="2" t="s">
        <v>153</v>
      </c>
      <c r="B570" s="2" t="s">
        <v>37</v>
      </c>
      <c r="C570" s="20">
        <v>42773.585231481484</v>
      </c>
      <c r="D570" s="2" t="s">
        <v>5</v>
      </c>
      <c r="E570" s="2" t="s">
        <v>40</v>
      </c>
      <c r="F570" s="20">
        <v>42773.585243055553</v>
      </c>
      <c r="G570" s="20"/>
      <c r="H570" s="20"/>
      <c r="I570">
        <v>570</v>
      </c>
    </row>
    <row r="571" spans="1:9" ht="25.5" x14ac:dyDescent="0.2">
      <c r="A571" s="2" t="s">
        <v>153</v>
      </c>
      <c r="B571" s="2" t="s">
        <v>37</v>
      </c>
      <c r="C571" s="20">
        <v>42773.585231481484</v>
      </c>
      <c r="D571" s="2" t="s">
        <v>5</v>
      </c>
      <c r="E571" s="2" t="s">
        <v>89</v>
      </c>
      <c r="F571" s="20">
        <v>42773.5856712963</v>
      </c>
      <c r="G571" s="20"/>
      <c r="H571" s="20"/>
      <c r="I571">
        <v>571</v>
      </c>
    </row>
    <row r="572" spans="1:9" ht="38.25" x14ac:dyDescent="0.2">
      <c r="A572" s="2" t="s">
        <v>153</v>
      </c>
      <c r="B572" s="2" t="s">
        <v>37</v>
      </c>
      <c r="C572" s="20">
        <v>42773.585231481484</v>
      </c>
      <c r="D572" s="2" t="s">
        <v>5</v>
      </c>
      <c r="E572" s="2" t="s">
        <v>154</v>
      </c>
      <c r="F572" s="20">
        <v>42773.630578703705</v>
      </c>
      <c r="G572" s="20"/>
      <c r="H572" s="20"/>
      <c r="I572">
        <v>572</v>
      </c>
    </row>
    <row r="573" spans="1:9" ht="25.5" x14ac:dyDescent="0.2">
      <c r="A573" s="2" t="s">
        <v>153</v>
      </c>
      <c r="B573" s="2" t="s">
        <v>37</v>
      </c>
      <c r="C573" s="20">
        <v>42773.585231481484</v>
      </c>
      <c r="D573" s="2" t="s">
        <v>5</v>
      </c>
      <c r="E573" s="2" t="s">
        <v>39</v>
      </c>
      <c r="F573" s="20">
        <v>42774.375347222223</v>
      </c>
      <c r="G573" s="20"/>
      <c r="H573" s="20"/>
      <c r="I573">
        <v>573</v>
      </c>
    </row>
    <row r="574" spans="1:9" ht="63.75" x14ac:dyDescent="0.2">
      <c r="A574" s="2" t="s">
        <v>153</v>
      </c>
      <c r="B574" s="2" t="s">
        <v>37</v>
      </c>
      <c r="C574" s="20">
        <v>42773.585231481484</v>
      </c>
      <c r="D574" s="2" t="s">
        <v>6</v>
      </c>
      <c r="E574" s="2" t="s">
        <v>96</v>
      </c>
      <c r="F574" s="20">
        <v>42774.400034722225</v>
      </c>
      <c r="G574" s="20"/>
      <c r="H574" s="20"/>
      <c r="I574">
        <v>574</v>
      </c>
    </row>
    <row r="575" spans="1:9" ht="25.5" x14ac:dyDescent="0.2">
      <c r="A575" s="2" t="s">
        <v>150</v>
      </c>
      <c r="B575" s="2" t="s">
        <v>83</v>
      </c>
      <c r="C575" s="20">
        <v>42773.601064814815</v>
      </c>
      <c r="D575" s="2" t="s">
        <v>5</v>
      </c>
      <c r="E575" s="2" t="s">
        <v>152</v>
      </c>
      <c r="F575" s="20">
        <v>42773.603564814817</v>
      </c>
      <c r="G575" s="20"/>
      <c r="H575" s="20"/>
      <c r="I575">
        <v>575</v>
      </c>
    </row>
    <row r="576" spans="1:9" ht="63.75" x14ac:dyDescent="0.2">
      <c r="A576" s="2" t="s">
        <v>150</v>
      </c>
      <c r="B576" s="2" t="s">
        <v>83</v>
      </c>
      <c r="C576" s="20">
        <v>42773.601064814815</v>
      </c>
      <c r="D576" s="2" t="s">
        <v>6</v>
      </c>
      <c r="E576" s="2" t="s">
        <v>145</v>
      </c>
      <c r="F576" s="20">
        <v>42773.603564814817</v>
      </c>
      <c r="G576" s="20"/>
      <c r="H576" s="20"/>
      <c r="I576">
        <v>576</v>
      </c>
    </row>
    <row r="577" spans="1:9" ht="25.5" x14ac:dyDescent="0.2">
      <c r="A577" s="2" t="s">
        <v>150</v>
      </c>
      <c r="B577" s="2" t="s">
        <v>83</v>
      </c>
      <c r="C577" s="20">
        <v>42773.601064814815</v>
      </c>
      <c r="D577" s="2" t="s">
        <v>5</v>
      </c>
      <c r="E577" s="2" t="s">
        <v>151</v>
      </c>
      <c r="F577" s="20">
        <v>42773.60396990741</v>
      </c>
      <c r="G577" s="20"/>
      <c r="H577" s="20"/>
      <c r="I577">
        <v>577</v>
      </c>
    </row>
    <row r="578" spans="1:9" ht="63.75" x14ac:dyDescent="0.2">
      <c r="A578" s="2" t="s">
        <v>150</v>
      </c>
      <c r="B578" s="2" t="s">
        <v>83</v>
      </c>
      <c r="C578" s="20">
        <v>42773.601064814815</v>
      </c>
      <c r="D578" s="2" t="s">
        <v>6</v>
      </c>
      <c r="E578" s="2" t="s">
        <v>149</v>
      </c>
      <c r="F578" s="20">
        <v>42773.60396990741</v>
      </c>
      <c r="G578" s="20"/>
      <c r="H578" s="20"/>
      <c r="I578">
        <v>578</v>
      </c>
    </row>
    <row r="579" spans="1:9" ht="25.5" x14ac:dyDescent="0.2">
      <c r="A579" s="2" t="s">
        <v>148</v>
      </c>
      <c r="B579" s="2" t="s">
        <v>37</v>
      </c>
      <c r="C579" s="20">
        <v>42773.601331018515</v>
      </c>
      <c r="D579" s="2" t="s">
        <v>5</v>
      </c>
      <c r="E579" s="2" t="s">
        <v>40</v>
      </c>
      <c r="F579" s="20">
        <v>42773.601342592592</v>
      </c>
      <c r="G579" s="20"/>
      <c r="H579" s="20"/>
      <c r="I579">
        <v>579</v>
      </c>
    </row>
    <row r="580" spans="1:9" ht="25.5" x14ac:dyDescent="0.2">
      <c r="A580" s="2" t="s">
        <v>148</v>
      </c>
      <c r="B580" s="2" t="s">
        <v>37</v>
      </c>
      <c r="C580" s="20">
        <v>42773.601331018515</v>
      </c>
      <c r="D580" s="2" t="s">
        <v>5</v>
      </c>
      <c r="E580" s="2" t="s">
        <v>39</v>
      </c>
      <c r="F580" s="20">
        <v>42773.601863425924</v>
      </c>
      <c r="G580" s="20"/>
      <c r="H580" s="20"/>
      <c r="I580">
        <v>580</v>
      </c>
    </row>
    <row r="581" spans="1:9" ht="63.75" x14ac:dyDescent="0.2">
      <c r="A581" s="2" t="s">
        <v>148</v>
      </c>
      <c r="B581" s="2" t="s">
        <v>37</v>
      </c>
      <c r="C581" s="20">
        <v>42773.601331018515</v>
      </c>
      <c r="D581" s="2" t="s">
        <v>6</v>
      </c>
      <c r="E581" s="2" t="s">
        <v>96</v>
      </c>
      <c r="F581" s="20">
        <v>42773.61550925926</v>
      </c>
      <c r="G581" s="20"/>
      <c r="H581" s="20"/>
      <c r="I581">
        <v>581</v>
      </c>
    </row>
    <row r="582" spans="1:9" ht="25.5" x14ac:dyDescent="0.2">
      <c r="A582" s="2" t="s">
        <v>147</v>
      </c>
      <c r="B582" s="2" t="s">
        <v>83</v>
      </c>
      <c r="C582" s="20">
        <v>42773.621493055558</v>
      </c>
      <c r="D582" s="2" t="s">
        <v>5</v>
      </c>
      <c r="E582" s="2" t="s">
        <v>40</v>
      </c>
      <c r="F582" s="20">
        <v>42773.62159722222</v>
      </c>
      <c r="G582" s="20"/>
      <c r="H582" s="20"/>
      <c r="I582">
        <v>582</v>
      </c>
    </row>
    <row r="583" spans="1:9" ht="25.5" x14ac:dyDescent="0.2">
      <c r="A583" s="2" t="s">
        <v>147</v>
      </c>
      <c r="B583" s="2" t="s">
        <v>83</v>
      </c>
      <c r="C583" s="20">
        <v>42773.621493055558</v>
      </c>
      <c r="D583" s="2" t="s">
        <v>5</v>
      </c>
      <c r="E583" s="2" t="s">
        <v>39</v>
      </c>
      <c r="F583" s="20">
        <v>42773.62228009259</v>
      </c>
      <c r="G583" s="20"/>
      <c r="H583" s="20"/>
      <c r="I583">
        <v>583</v>
      </c>
    </row>
    <row r="584" spans="1:9" ht="25.5" x14ac:dyDescent="0.2">
      <c r="A584" s="2" t="s">
        <v>147</v>
      </c>
      <c r="B584" s="2" t="s">
        <v>83</v>
      </c>
      <c r="C584" s="20">
        <v>42773.621493055558</v>
      </c>
      <c r="D584" s="2" t="s">
        <v>5</v>
      </c>
      <c r="E584" s="2" t="s">
        <v>69</v>
      </c>
      <c r="F584" s="20">
        <v>42773.630277777775</v>
      </c>
      <c r="G584" s="20"/>
      <c r="H584" s="20"/>
      <c r="I584">
        <v>584</v>
      </c>
    </row>
    <row r="585" spans="1:9" ht="25.5" x14ac:dyDescent="0.2">
      <c r="A585" s="2" t="s">
        <v>147</v>
      </c>
      <c r="B585" s="2" t="s">
        <v>83</v>
      </c>
      <c r="C585" s="20">
        <v>42773.621493055558</v>
      </c>
      <c r="D585" s="2" t="s">
        <v>5</v>
      </c>
      <c r="E585" s="2" t="s">
        <v>39</v>
      </c>
      <c r="F585" s="20">
        <v>42773.630462962959</v>
      </c>
      <c r="G585" s="20"/>
      <c r="H585" s="20"/>
      <c r="I585">
        <v>585</v>
      </c>
    </row>
    <row r="586" spans="1:9" ht="25.5" x14ac:dyDescent="0.2">
      <c r="A586" s="2" t="s">
        <v>147</v>
      </c>
      <c r="B586" s="2" t="s">
        <v>83</v>
      </c>
      <c r="C586" s="20">
        <v>42773.621493055558</v>
      </c>
      <c r="D586" s="2" t="s">
        <v>5</v>
      </c>
      <c r="E586" s="2" t="s">
        <v>69</v>
      </c>
      <c r="F586" s="20">
        <v>42773.670694444445</v>
      </c>
      <c r="G586" s="20"/>
      <c r="H586" s="20"/>
      <c r="I586">
        <v>586</v>
      </c>
    </row>
    <row r="587" spans="1:9" ht="63.75" x14ac:dyDescent="0.2">
      <c r="A587" s="2" t="s">
        <v>147</v>
      </c>
      <c r="B587" s="2" t="s">
        <v>83</v>
      </c>
      <c r="C587" s="20">
        <v>42773.621493055558</v>
      </c>
      <c r="D587" s="2" t="s">
        <v>6</v>
      </c>
      <c r="E587" s="2" t="s">
        <v>145</v>
      </c>
      <c r="F587" s="20">
        <v>42773.676365740743</v>
      </c>
      <c r="G587" s="20"/>
      <c r="H587" s="20"/>
      <c r="I587">
        <v>587</v>
      </c>
    </row>
    <row r="588" spans="1:9" ht="25.5" x14ac:dyDescent="0.2">
      <c r="A588" s="2" t="s">
        <v>147</v>
      </c>
      <c r="B588" s="2" t="s">
        <v>83</v>
      </c>
      <c r="C588" s="20">
        <v>42773.621493055558</v>
      </c>
      <c r="D588" s="2" t="s">
        <v>5</v>
      </c>
      <c r="E588" s="2" t="s">
        <v>144</v>
      </c>
      <c r="F588" s="20">
        <v>42773.750520833331</v>
      </c>
      <c r="G588" s="20"/>
      <c r="H588" s="20"/>
      <c r="I588">
        <v>588</v>
      </c>
    </row>
    <row r="589" spans="1:9" ht="63.75" x14ac:dyDescent="0.2">
      <c r="A589" s="2" t="s">
        <v>147</v>
      </c>
      <c r="B589" s="2" t="s">
        <v>83</v>
      </c>
      <c r="C589" s="20">
        <v>42773.621493055558</v>
      </c>
      <c r="D589" s="2" t="s">
        <v>6</v>
      </c>
      <c r="E589" s="2" t="s">
        <v>142</v>
      </c>
      <c r="F589" s="20">
        <v>42773.750520833331</v>
      </c>
      <c r="G589" s="20"/>
      <c r="H589" s="20"/>
      <c r="I589">
        <v>589</v>
      </c>
    </row>
    <row r="590" spans="1:9" ht="25.5" x14ac:dyDescent="0.2">
      <c r="A590" s="2" t="s">
        <v>147</v>
      </c>
      <c r="B590" s="2" t="s">
        <v>83</v>
      </c>
      <c r="C590" s="20">
        <v>42773.621493055558</v>
      </c>
      <c r="D590" s="2" t="s">
        <v>5</v>
      </c>
      <c r="E590" s="2" t="s">
        <v>69</v>
      </c>
      <c r="F590" s="20">
        <v>42775.633715277778</v>
      </c>
      <c r="G590" s="20"/>
      <c r="H590" s="20"/>
      <c r="I590">
        <v>590</v>
      </c>
    </row>
    <row r="591" spans="1:9" ht="63.75" x14ac:dyDescent="0.2">
      <c r="A591" s="2" t="s">
        <v>147</v>
      </c>
      <c r="B591" s="2" t="s">
        <v>83</v>
      </c>
      <c r="C591" s="20">
        <v>42773.621493055558</v>
      </c>
      <c r="D591" s="2" t="s">
        <v>6</v>
      </c>
      <c r="E591" s="2" t="s">
        <v>85</v>
      </c>
      <c r="F591" s="20">
        <v>42775.633715277778</v>
      </c>
      <c r="G591" s="20"/>
      <c r="H591" s="20"/>
      <c r="I591">
        <v>591</v>
      </c>
    </row>
    <row r="592" spans="1:9" ht="25.5" x14ac:dyDescent="0.2">
      <c r="A592" s="2" t="s">
        <v>146</v>
      </c>
      <c r="B592" s="2" t="s">
        <v>37</v>
      </c>
      <c r="C592" s="20">
        <v>42773.63957175926</v>
      </c>
      <c r="D592" s="2" t="s">
        <v>5</v>
      </c>
      <c r="E592" s="2" t="s">
        <v>40</v>
      </c>
      <c r="F592" s="20">
        <v>42773.639664351853</v>
      </c>
      <c r="G592" s="20"/>
      <c r="H592" s="20"/>
      <c r="I592">
        <v>592</v>
      </c>
    </row>
    <row r="593" spans="1:9" ht="25.5" x14ac:dyDescent="0.2">
      <c r="A593" s="2" t="s">
        <v>146</v>
      </c>
      <c r="B593" s="2" t="s">
        <v>37</v>
      </c>
      <c r="C593" s="20">
        <v>42773.63957175926</v>
      </c>
      <c r="D593" s="2" t="s">
        <v>5</v>
      </c>
      <c r="E593" s="2" t="s">
        <v>135</v>
      </c>
      <c r="F593" s="20">
        <v>42773.649305555555</v>
      </c>
      <c r="G593" s="20"/>
      <c r="H593" s="20"/>
      <c r="I593">
        <v>593</v>
      </c>
    </row>
    <row r="594" spans="1:9" ht="25.5" x14ac:dyDescent="0.2">
      <c r="A594" s="2" t="s">
        <v>143</v>
      </c>
      <c r="B594" s="2" t="s">
        <v>83</v>
      </c>
      <c r="C594" s="20">
        <v>42773.65892361111</v>
      </c>
      <c r="D594" s="2" t="s">
        <v>5</v>
      </c>
      <c r="E594" s="2" t="s">
        <v>40</v>
      </c>
      <c r="F594" s="20">
        <v>42773.658935185187</v>
      </c>
      <c r="G594" s="20"/>
      <c r="H594" s="20"/>
      <c r="I594">
        <v>594</v>
      </c>
    </row>
    <row r="595" spans="1:9" ht="25.5" x14ac:dyDescent="0.2">
      <c r="A595" s="2" t="s">
        <v>143</v>
      </c>
      <c r="B595" s="2" t="s">
        <v>83</v>
      </c>
      <c r="C595" s="20">
        <v>42773.65892361111</v>
      </c>
      <c r="D595" s="2" t="s">
        <v>5</v>
      </c>
      <c r="E595" s="2" t="s">
        <v>69</v>
      </c>
      <c r="F595" s="20">
        <v>42773.666608796295</v>
      </c>
      <c r="G595" s="20"/>
      <c r="H595" s="20"/>
      <c r="I595">
        <v>595</v>
      </c>
    </row>
    <row r="596" spans="1:9" ht="63.75" x14ac:dyDescent="0.2">
      <c r="A596" s="2" t="s">
        <v>143</v>
      </c>
      <c r="B596" s="2" t="s">
        <v>83</v>
      </c>
      <c r="C596" s="20">
        <v>42773.65892361111</v>
      </c>
      <c r="D596" s="2" t="s">
        <v>6</v>
      </c>
      <c r="E596" s="2" t="s">
        <v>145</v>
      </c>
      <c r="F596" s="20">
        <v>42773.676678240743</v>
      </c>
      <c r="G596" s="20"/>
      <c r="H596" s="20"/>
      <c r="I596">
        <v>596</v>
      </c>
    </row>
    <row r="597" spans="1:9" ht="25.5" x14ac:dyDescent="0.2">
      <c r="A597" s="2" t="s">
        <v>143</v>
      </c>
      <c r="B597" s="2" t="s">
        <v>83</v>
      </c>
      <c r="C597" s="20">
        <v>42773.65892361111</v>
      </c>
      <c r="D597" s="2" t="s">
        <v>5</v>
      </c>
      <c r="E597" s="2" t="s">
        <v>144</v>
      </c>
      <c r="F597" s="20">
        <v>42776.613206018519</v>
      </c>
      <c r="G597" s="20"/>
      <c r="H597" s="20"/>
      <c r="I597">
        <v>597</v>
      </c>
    </row>
    <row r="598" spans="1:9" ht="63.75" x14ac:dyDescent="0.2">
      <c r="A598" s="2" t="s">
        <v>143</v>
      </c>
      <c r="B598" s="2" t="s">
        <v>83</v>
      </c>
      <c r="C598" s="20">
        <v>42773.65892361111</v>
      </c>
      <c r="D598" s="2" t="s">
        <v>6</v>
      </c>
      <c r="E598" s="2" t="s">
        <v>142</v>
      </c>
      <c r="F598" s="20">
        <v>42776.613206018519</v>
      </c>
      <c r="G598" s="20"/>
      <c r="H598" s="20"/>
      <c r="I598">
        <v>598</v>
      </c>
    </row>
    <row r="599" spans="1:9" ht="25.5" x14ac:dyDescent="0.2">
      <c r="A599" s="2" t="s">
        <v>141</v>
      </c>
      <c r="B599" s="2" t="s">
        <v>37</v>
      </c>
      <c r="C599" s="20">
        <v>42773.695972222224</v>
      </c>
      <c r="D599" s="2" t="s">
        <v>5</v>
      </c>
      <c r="E599" s="2" t="s">
        <v>40</v>
      </c>
      <c r="F599" s="20">
        <v>42773.69604166667</v>
      </c>
      <c r="G599" s="20"/>
      <c r="H599" s="20"/>
      <c r="I599">
        <v>599</v>
      </c>
    </row>
    <row r="600" spans="1:9" ht="25.5" x14ac:dyDescent="0.2">
      <c r="A600" s="2" t="s">
        <v>141</v>
      </c>
      <c r="B600" s="2" t="s">
        <v>37</v>
      </c>
      <c r="C600" s="20">
        <v>42773.695972222224</v>
      </c>
      <c r="D600" s="2" t="s">
        <v>5</v>
      </c>
      <c r="E600" s="2" t="s">
        <v>39</v>
      </c>
      <c r="F600" s="20">
        <v>42773.704108796293</v>
      </c>
      <c r="G600" s="20"/>
      <c r="H600" s="20"/>
      <c r="I600">
        <v>600</v>
      </c>
    </row>
    <row r="601" spans="1:9" ht="63.75" x14ac:dyDescent="0.2">
      <c r="A601" s="2" t="s">
        <v>141</v>
      </c>
      <c r="B601" s="2" t="s">
        <v>37</v>
      </c>
      <c r="C601" s="20">
        <v>42773.695972222224</v>
      </c>
      <c r="D601" s="2" t="s">
        <v>6</v>
      </c>
      <c r="E601" s="2" t="s">
        <v>41</v>
      </c>
      <c r="F601" s="20">
        <v>42773.704108796293</v>
      </c>
      <c r="G601" s="20"/>
      <c r="H601" s="20"/>
      <c r="I601">
        <v>601</v>
      </c>
    </row>
    <row r="602" spans="1:9" ht="25.5" x14ac:dyDescent="0.2">
      <c r="A602" s="2" t="s">
        <v>141</v>
      </c>
      <c r="B602" s="2" t="s">
        <v>37</v>
      </c>
      <c r="C602" s="20">
        <v>42773.695972222224</v>
      </c>
      <c r="D602" s="2" t="s">
        <v>5</v>
      </c>
      <c r="E602" s="2" t="s">
        <v>69</v>
      </c>
      <c r="F602" s="20">
        <v>42773.707152777781</v>
      </c>
      <c r="G602" s="20"/>
      <c r="H602" s="20"/>
      <c r="I602">
        <v>602</v>
      </c>
    </row>
    <row r="603" spans="1:9" ht="51" x14ac:dyDescent="0.2">
      <c r="A603" s="2" t="s">
        <v>141</v>
      </c>
      <c r="B603" s="2" t="s">
        <v>37</v>
      </c>
      <c r="C603" s="20">
        <v>42773.695972222224</v>
      </c>
      <c r="D603" s="2" t="s">
        <v>6</v>
      </c>
      <c r="E603" s="2" t="s">
        <v>105</v>
      </c>
      <c r="F603" s="20">
        <v>42773.708703703705</v>
      </c>
      <c r="G603" s="20"/>
      <c r="H603" s="20"/>
      <c r="I603">
        <v>603</v>
      </c>
    </row>
    <row r="604" spans="1:9" ht="25.5" x14ac:dyDescent="0.2">
      <c r="A604" s="2" t="s">
        <v>140</v>
      </c>
      <c r="B604" s="2" t="s">
        <v>37</v>
      </c>
      <c r="C604" s="20">
        <v>42773.839918981481</v>
      </c>
      <c r="D604" s="2" t="s">
        <v>5</v>
      </c>
      <c r="E604" s="2" t="s">
        <v>40</v>
      </c>
      <c r="F604" s="20">
        <v>42773.839953703704</v>
      </c>
      <c r="G604" s="20"/>
      <c r="H604" s="20"/>
      <c r="I604">
        <v>604</v>
      </c>
    </row>
    <row r="605" spans="1:9" ht="25.5" x14ac:dyDescent="0.2">
      <c r="A605" s="2" t="s">
        <v>140</v>
      </c>
      <c r="B605" s="2" t="s">
        <v>37</v>
      </c>
      <c r="C605" s="20">
        <v>42773.839918981481</v>
      </c>
      <c r="D605" s="2" t="s">
        <v>5</v>
      </c>
      <c r="E605" s="2" t="s">
        <v>39</v>
      </c>
      <c r="F605" s="20">
        <v>42773.841562499998</v>
      </c>
      <c r="G605" s="20"/>
      <c r="H605" s="20"/>
      <c r="I605">
        <v>605</v>
      </c>
    </row>
    <row r="606" spans="1:9" ht="25.5" x14ac:dyDescent="0.2">
      <c r="A606" s="2" t="s">
        <v>140</v>
      </c>
      <c r="B606" s="2" t="s">
        <v>37</v>
      </c>
      <c r="C606" s="20">
        <v>42773.839918981481</v>
      </c>
      <c r="D606" s="2" t="s">
        <v>5</v>
      </c>
      <c r="E606" s="2" t="s">
        <v>69</v>
      </c>
      <c r="F606" s="20">
        <v>42774.348553240743</v>
      </c>
      <c r="G606" s="20"/>
      <c r="H606" s="20"/>
      <c r="I606">
        <v>606</v>
      </c>
    </row>
    <row r="607" spans="1:9" ht="63.75" x14ac:dyDescent="0.2">
      <c r="A607" s="2" t="s">
        <v>140</v>
      </c>
      <c r="B607" s="2" t="s">
        <v>37</v>
      </c>
      <c r="C607" s="20">
        <v>42773.839918981481</v>
      </c>
      <c r="D607" s="2" t="s">
        <v>6</v>
      </c>
      <c r="E607" s="2" t="s">
        <v>67</v>
      </c>
      <c r="F607" s="20">
        <v>42774.362175925926</v>
      </c>
      <c r="G607" s="20"/>
      <c r="H607" s="20"/>
      <c r="I607">
        <v>607</v>
      </c>
    </row>
    <row r="608" spans="1:9" ht="25.5" x14ac:dyDescent="0.2">
      <c r="A608" s="2" t="s">
        <v>138</v>
      </c>
      <c r="B608" s="2" t="s">
        <v>37</v>
      </c>
      <c r="C608" s="20">
        <v>42774.219340277778</v>
      </c>
      <c r="D608" s="2" t="s">
        <v>5</v>
      </c>
      <c r="E608" s="2" t="s">
        <v>40</v>
      </c>
      <c r="F608" s="20">
        <v>42774.219351851854</v>
      </c>
      <c r="G608" s="20"/>
      <c r="H608" s="20"/>
      <c r="I608">
        <v>608</v>
      </c>
    </row>
    <row r="609" spans="1:9" ht="51" x14ac:dyDescent="0.2">
      <c r="A609" s="2" t="s">
        <v>138</v>
      </c>
      <c r="B609" s="2" t="s">
        <v>37</v>
      </c>
      <c r="C609" s="20">
        <v>42774.219340277778</v>
      </c>
      <c r="D609" s="2" t="s">
        <v>5</v>
      </c>
      <c r="E609" s="2" t="s">
        <v>139</v>
      </c>
      <c r="F609" s="20">
        <v>42774.220717592594</v>
      </c>
      <c r="G609" s="20"/>
      <c r="H609" s="20"/>
      <c r="I609">
        <v>609</v>
      </c>
    </row>
    <row r="610" spans="1:9" ht="25.5" x14ac:dyDescent="0.2">
      <c r="A610" s="2" t="s">
        <v>138</v>
      </c>
      <c r="B610" s="2" t="s">
        <v>37</v>
      </c>
      <c r="C610" s="20">
        <v>42774.219340277778</v>
      </c>
      <c r="D610" s="2" t="s">
        <v>5</v>
      </c>
      <c r="E610" s="2" t="s">
        <v>39</v>
      </c>
      <c r="F610" s="20">
        <v>42774.221041666664</v>
      </c>
      <c r="G610" s="20"/>
      <c r="H610" s="20"/>
      <c r="I610">
        <v>610</v>
      </c>
    </row>
    <row r="611" spans="1:9" ht="25.5" x14ac:dyDescent="0.2">
      <c r="A611" s="2" t="s">
        <v>138</v>
      </c>
      <c r="B611" s="2" t="s">
        <v>37</v>
      </c>
      <c r="C611" s="20">
        <v>42774.219340277778</v>
      </c>
      <c r="D611" s="2" t="s">
        <v>5</v>
      </c>
      <c r="E611" s="2" t="s">
        <v>69</v>
      </c>
      <c r="F611" s="20">
        <v>42774.354884259257</v>
      </c>
      <c r="G611" s="20"/>
      <c r="H611" s="20"/>
      <c r="I611">
        <v>611</v>
      </c>
    </row>
    <row r="612" spans="1:9" ht="63.75" x14ac:dyDescent="0.2">
      <c r="A612" s="2" t="s">
        <v>138</v>
      </c>
      <c r="B612" s="2" t="s">
        <v>37</v>
      </c>
      <c r="C612" s="20">
        <v>42774.219340277778</v>
      </c>
      <c r="D612" s="2" t="s">
        <v>6</v>
      </c>
      <c r="E612" s="2" t="s">
        <v>67</v>
      </c>
      <c r="F612" s="20">
        <v>42774.361944444441</v>
      </c>
      <c r="G612" s="20"/>
      <c r="H612" s="20"/>
      <c r="I612">
        <v>612</v>
      </c>
    </row>
    <row r="613" spans="1:9" ht="25.5" x14ac:dyDescent="0.2">
      <c r="A613" s="2" t="s">
        <v>137</v>
      </c>
      <c r="B613" s="2" t="s">
        <v>83</v>
      </c>
      <c r="C613" s="20">
        <v>42774.336921296293</v>
      </c>
      <c r="D613" s="2" t="s">
        <v>5</v>
      </c>
      <c r="E613" s="2" t="s">
        <v>40</v>
      </c>
      <c r="F613" s="20">
        <v>42774.336956018517</v>
      </c>
      <c r="G613" s="20"/>
      <c r="H613" s="20"/>
      <c r="I613">
        <v>613</v>
      </c>
    </row>
    <row r="614" spans="1:9" ht="25.5" x14ac:dyDescent="0.2">
      <c r="A614" s="2" t="s">
        <v>137</v>
      </c>
      <c r="B614" s="2" t="s">
        <v>83</v>
      </c>
      <c r="C614" s="20">
        <v>42774.336921296293</v>
      </c>
      <c r="D614" s="2" t="s">
        <v>5</v>
      </c>
      <c r="E614" s="2" t="s">
        <v>39</v>
      </c>
      <c r="F614" s="20">
        <v>42774.337222222224</v>
      </c>
      <c r="G614" s="20"/>
      <c r="H614" s="20"/>
      <c r="I614">
        <v>614</v>
      </c>
    </row>
    <row r="615" spans="1:9" ht="25.5" x14ac:dyDescent="0.2">
      <c r="A615" s="2" t="s">
        <v>137</v>
      </c>
      <c r="B615" s="2" t="s">
        <v>83</v>
      </c>
      <c r="C615" s="20">
        <v>42774.336921296293</v>
      </c>
      <c r="D615" s="2" t="s">
        <v>5</v>
      </c>
      <c r="E615" s="2" t="s">
        <v>69</v>
      </c>
      <c r="F615" s="20">
        <v>42774.358981481484</v>
      </c>
      <c r="G615" s="20"/>
      <c r="H615" s="20"/>
      <c r="I615">
        <v>615</v>
      </c>
    </row>
    <row r="616" spans="1:9" ht="63.75" x14ac:dyDescent="0.2">
      <c r="A616" s="2" t="s">
        <v>137</v>
      </c>
      <c r="B616" s="2" t="s">
        <v>83</v>
      </c>
      <c r="C616" s="20">
        <v>42774.336921296293</v>
      </c>
      <c r="D616" s="2" t="s">
        <v>6</v>
      </c>
      <c r="E616" s="2" t="s">
        <v>67</v>
      </c>
      <c r="F616" s="20">
        <v>42774.36210648148</v>
      </c>
      <c r="G616" s="20"/>
      <c r="H616" s="20"/>
      <c r="I616">
        <v>616</v>
      </c>
    </row>
    <row r="617" spans="1:9" ht="63.75" x14ac:dyDescent="0.2">
      <c r="A617" s="2" t="s">
        <v>137</v>
      </c>
      <c r="B617" s="2" t="s">
        <v>83</v>
      </c>
      <c r="C617" s="20">
        <v>42774.336921296293</v>
      </c>
      <c r="D617" s="2" t="s">
        <v>6</v>
      </c>
      <c r="E617" s="2" t="s">
        <v>85</v>
      </c>
      <c r="F617" s="20">
        <v>42775.540682870371</v>
      </c>
      <c r="G617" s="20"/>
      <c r="H617" s="20"/>
      <c r="I617">
        <v>617</v>
      </c>
    </row>
    <row r="618" spans="1:9" ht="25.5" x14ac:dyDescent="0.2">
      <c r="A618" s="2" t="s">
        <v>136</v>
      </c>
      <c r="B618" s="2" t="s">
        <v>37</v>
      </c>
      <c r="C618" s="20">
        <v>42774.359363425923</v>
      </c>
      <c r="D618" s="2" t="s">
        <v>5</v>
      </c>
      <c r="E618" s="2" t="s">
        <v>40</v>
      </c>
      <c r="F618" s="20">
        <v>42774.359375</v>
      </c>
      <c r="G618" s="20"/>
      <c r="H618" s="20"/>
      <c r="I618">
        <v>618</v>
      </c>
    </row>
    <row r="619" spans="1:9" ht="25.5" x14ac:dyDescent="0.2">
      <c r="A619" s="2" t="s">
        <v>136</v>
      </c>
      <c r="B619" s="2" t="s">
        <v>37</v>
      </c>
      <c r="C619" s="20">
        <v>42774.359363425923</v>
      </c>
      <c r="D619" s="2" t="s">
        <v>5</v>
      </c>
      <c r="E619" s="2" t="s">
        <v>39</v>
      </c>
      <c r="F619" s="20">
        <v>42774.367106481484</v>
      </c>
      <c r="G619" s="20"/>
      <c r="H619" s="20"/>
      <c r="I619">
        <v>619</v>
      </c>
    </row>
    <row r="620" spans="1:9" ht="63.75" x14ac:dyDescent="0.2">
      <c r="A620" s="2" t="s">
        <v>136</v>
      </c>
      <c r="B620" s="2" t="s">
        <v>37</v>
      </c>
      <c r="C620" s="20">
        <v>42774.359363425923</v>
      </c>
      <c r="D620" s="2" t="s">
        <v>6</v>
      </c>
      <c r="E620" s="2" t="s">
        <v>115</v>
      </c>
      <c r="F620" s="20">
        <v>42774.367106481484</v>
      </c>
      <c r="G620" s="20"/>
      <c r="H620" s="20"/>
      <c r="I620">
        <v>620</v>
      </c>
    </row>
    <row r="621" spans="1:9" ht="25.5" x14ac:dyDescent="0.2">
      <c r="A621" s="2" t="s">
        <v>136</v>
      </c>
      <c r="B621" s="2" t="s">
        <v>37</v>
      </c>
      <c r="C621" s="20">
        <v>42774.359363425923</v>
      </c>
      <c r="D621" s="2" t="s">
        <v>5</v>
      </c>
      <c r="E621" s="2" t="s">
        <v>135</v>
      </c>
      <c r="F621" s="20">
        <v>42774.384317129632</v>
      </c>
      <c r="G621" s="20"/>
      <c r="H621" s="20"/>
      <c r="I621">
        <v>621</v>
      </c>
    </row>
    <row r="622" spans="1:9" ht="25.5" x14ac:dyDescent="0.2">
      <c r="A622" s="2" t="s">
        <v>134</v>
      </c>
      <c r="B622" s="2" t="s">
        <v>37</v>
      </c>
      <c r="C622" s="20">
        <v>42774.541539351849</v>
      </c>
      <c r="D622" s="2" t="s">
        <v>5</v>
      </c>
      <c r="E622" s="2" t="s">
        <v>40</v>
      </c>
      <c r="F622" s="20">
        <v>42774.541574074072</v>
      </c>
      <c r="G622" s="20"/>
      <c r="H622" s="20"/>
      <c r="I622">
        <v>622</v>
      </c>
    </row>
    <row r="623" spans="1:9" ht="25.5" x14ac:dyDescent="0.2">
      <c r="A623" s="2" t="s">
        <v>134</v>
      </c>
      <c r="B623" s="2" t="s">
        <v>37</v>
      </c>
      <c r="C623" s="20">
        <v>42774.541539351849</v>
      </c>
      <c r="D623" s="2" t="s">
        <v>5</v>
      </c>
      <c r="E623" s="2" t="s">
        <v>39</v>
      </c>
      <c r="F623" s="20">
        <v>42774.542291666665</v>
      </c>
      <c r="G623" s="20"/>
      <c r="H623" s="20"/>
      <c r="I623">
        <v>623</v>
      </c>
    </row>
    <row r="624" spans="1:9" ht="51" x14ac:dyDescent="0.2">
      <c r="A624" s="2" t="s">
        <v>134</v>
      </c>
      <c r="B624" s="2" t="s">
        <v>37</v>
      </c>
      <c r="C624" s="20">
        <v>42774.541539351849</v>
      </c>
      <c r="D624" s="2" t="s">
        <v>6</v>
      </c>
      <c r="E624" s="2" t="s">
        <v>77</v>
      </c>
      <c r="F624" s="20">
        <v>42774.55704861111</v>
      </c>
      <c r="G624" s="20"/>
      <c r="H624" s="20"/>
      <c r="I624">
        <v>624</v>
      </c>
    </row>
    <row r="625" spans="1:9" ht="25.5" x14ac:dyDescent="0.2">
      <c r="A625" s="2" t="s">
        <v>133</v>
      </c>
      <c r="B625" s="2" t="s">
        <v>37</v>
      </c>
      <c r="C625" s="20">
        <v>42774.551527777781</v>
      </c>
      <c r="D625" s="2" t="s">
        <v>5</v>
      </c>
      <c r="E625" s="2" t="s">
        <v>40</v>
      </c>
      <c r="F625" s="20">
        <v>42774.551574074074</v>
      </c>
      <c r="G625" s="20"/>
      <c r="H625" s="20"/>
      <c r="I625">
        <v>625</v>
      </c>
    </row>
    <row r="626" spans="1:9" ht="25.5" x14ac:dyDescent="0.2">
      <c r="A626" s="2" t="s">
        <v>133</v>
      </c>
      <c r="B626" s="2" t="s">
        <v>37</v>
      </c>
      <c r="C626" s="20">
        <v>42774.551527777781</v>
      </c>
      <c r="D626" s="2" t="s">
        <v>5</v>
      </c>
      <c r="E626" s="2" t="s">
        <v>39</v>
      </c>
      <c r="F626" s="20">
        <v>42774.556504629632</v>
      </c>
      <c r="G626" s="20"/>
      <c r="H626" s="20"/>
      <c r="I626">
        <v>626</v>
      </c>
    </row>
    <row r="627" spans="1:9" ht="63.75" x14ac:dyDescent="0.2">
      <c r="A627" s="2" t="s">
        <v>133</v>
      </c>
      <c r="B627" s="2" t="s">
        <v>37</v>
      </c>
      <c r="C627" s="20">
        <v>42774.551527777781</v>
      </c>
      <c r="D627" s="2" t="s">
        <v>6</v>
      </c>
      <c r="E627" s="2" t="s">
        <v>41</v>
      </c>
      <c r="F627" s="20">
        <v>42774.556504629632</v>
      </c>
      <c r="G627" s="20"/>
      <c r="H627" s="20"/>
      <c r="I627">
        <v>627</v>
      </c>
    </row>
    <row r="628" spans="1:9" ht="25.5" x14ac:dyDescent="0.2">
      <c r="A628" s="2" t="s">
        <v>132</v>
      </c>
      <c r="B628" s="2" t="s">
        <v>37</v>
      </c>
      <c r="C628" s="20">
        <v>42774.610613425924</v>
      </c>
      <c r="D628" s="2" t="s">
        <v>5</v>
      </c>
      <c r="E628" s="2" t="s">
        <v>40</v>
      </c>
      <c r="F628" s="20">
        <v>42774.610625000001</v>
      </c>
      <c r="G628" s="20"/>
      <c r="H628" s="20"/>
      <c r="I628">
        <v>628</v>
      </c>
    </row>
    <row r="629" spans="1:9" ht="63.75" x14ac:dyDescent="0.2">
      <c r="A629" s="2" t="s">
        <v>132</v>
      </c>
      <c r="B629" s="2" t="s">
        <v>37</v>
      </c>
      <c r="C629" s="20">
        <v>42774.610613425924</v>
      </c>
      <c r="D629" s="2" t="s">
        <v>6</v>
      </c>
      <c r="E629" s="2" t="s">
        <v>55</v>
      </c>
      <c r="F629" s="20">
        <v>42774.635798611111</v>
      </c>
      <c r="G629" s="20"/>
      <c r="H629" s="20"/>
      <c r="I629">
        <v>629</v>
      </c>
    </row>
    <row r="630" spans="1:9" ht="25.5" x14ac:dyDescent="0.2">
      <c r="A630" s="2" t="s">
        <v>132</v>
      </c>
      <c r="B630" s="2" t="s">
        <v>37</v>
      </c>
      <c r="C630" s="20">
        <v>42774.610613425924</v>
      </c>
      <c r="D630" s="2" t="s">
        <v>5</v>
      </c>
      <c r="E630" s="2" t="s">
        <v>39</v>
      </c>
      <c r="F630" s="20">
        <v>42774.635810185187</v>
      </c>
      <c r="G630" s="20"/>
      <c r="H630" s="20"/>
      <c r="I630">
        <v>630</v>
      </c>
    </row>
    <row r="631" spans="1:9" ht="25.5" x14ac:dyDescent="0.2">
      <c r="A631" s="2" t="s">
        <v>131</v>
      </c>
      <c r="B631" s="2" t="s">
        <v>37</v>
      </c>
      <c r="C631" s="20">
        <v>42774.652974537035</v>
      </c>
      <c r="D631" s="2" t="s">
        <v>5</v>
      </c>
      <c r="E631" s="2" t="s">
        <v>40</v>
      </c>
      <c r="F631" s="20">
        <v>42774.653020833335</v>
      </c>
      <c r="G631" s="20"/>
      <c r="H631" s="20"/>
      <c r="I631">
        <v>631</v>
      </c>
    </row>
    <row r="632" spans="1:9" ht="25.5" x14ac:dyDescent="0.2">
      <c r="A632" s="2" t="s">
        <v>131</v>
      </c>
      <c r="B632" s="2" t="s">
        <v>37</v>
      </c>
      <c r="C632" s="20">
        <v>42774.652974537035</v>
      </c>
      <c r="D632" s="2" t="s">
        <v>5</v>
      </c>
      <c r="E632" s="2" t="s">
        <v>39</v>
      </c>
      <c r="F632" s="20">
        <v>42774.654189814813</v>
      </c>
      <c r="G632" s="20"/>
      <c r="H632" s="20"/>
      <c r="I632">
        <v>632</v>
      </c>
    </row>
    <row r="633" spans="1:9" ht="63.75" x14ac:dyDescent="0.2">
      <c r="A633" s="2" t="s">
        <v>131</v>
      </c>
      <c r="B633" s="2" t="s">
        <v>37</v>
      </c>
      <c r="C633" s="20">
        <v>42774.652974537035</v>
      </c>
      <c r="D633" s="2" t="s">
        <v>6</v>
      </c>
      <c r="E633" s="2" t="s">
        <v>50</v>
      </c>
      <c r="F633" s="20">
        <v>42774.654189814813</v>
      </c>
      <c r="G633" s="20"/>
      <c r="H633" s="20"/>
      <c r="I633">
        <v>633</v>
      </c>
    </row>
    <row r="634" spans="1:9" ht="25.5" x14ac:dyDescent="0.2">
      <c r="A634" s="2" t="s">
        <v>130</v>
      </c>
      <c r="B634" s="2" t="s">
        <v>37</v>
      </c>
      <c r="C634" s="20">
        <v>42774.742256944446</v>
      </c>
      <c r="D634" s="2" t="s">
        <v>5</v>
      </c>
      <c r="E634" s="2" t="s">
        <v>40</v>
      </c>
      <c r="F634" s="20">
        <v>42774.742326388892</v>
      </c>
      <c r="G634" s="20"/>
      <c r="H634" s="20"/>
      <c r="I634">
        <v>634</v>
      </c>
    </row>
    <row r="635" spans="1:9" ht="25.5" x14ac:dyDescent="0.2">
      <c r="A635" s="2" t="s">
        <v>130</v>
      </c>
      <c r="B635" s="2" t="s">
        <v>37</v>
      </c>
      <c r="C635" s="20">
        <v>42774.742256944446</v>
      </c>
      <c r="D635" s="2" t="s">
        <v>5</v>
      </c>
      <c r="E635" s="2" t="s">
        <v>65</v>
      </c>
      <c r="F635" s="20">
        <v>42774.751967592594</v>
      </c>
      <c r="G635" s="20"/>
      <c r="H635" s="20"/>
      <c r="I635">
        <v>635</v>
      </c>
    </row>
    <row r="636" spans="1:9" ht="63.75" x14ac:dyDescent="0.2">
      <c r="A636" s="2" t="s">
        <v>130</v>
      </c>
      <c r="B636" s="2" t="s">
        <v>37</v>
      </c>
      <c r="C636" s="20">
        <v>42774.742256944446</v>
      </c>
      <c r="D636" s="2" t="s">
        <v>6</v>
      </c>
      <c r="E636" s="2" t="s">
        <v>73</v>
      </c>
      <c r="F636" s="20">
        <v>42775.338483796295</v>
      </c>
      <c r="G636" s="20"/>
      <c r="H636" s="20"/>
      <c r="I636">
        <v>636</v>
      </c>
    </row>
    <row r="637" spans="1:9" ht="25.5" x14ac:dyDescent="0.2">
      <c r="A637" s="2" t="s">
        <v>129</v>
      </c>
      <c r="B637" s="2" t="s">
        <v>83</v>
      </c>
      <c r="C637" s="20">
        <v>42774.743379629632</v>
      </c>
      <c r="D637" s="2" t="s">
        <v>5</v>
      </c>
      <c r="E637" s="2" t="s">
        <v>40</v>
      </c>
      <c r="F637" s="20">
        <v>42774.743414351855</v>
      </c>
      <c r="G637" s="20"/>
      <c r="H637" s="20"/>
      <c r="I637">
        <v>637</v>
      </c>
    </row>
    <row r="638" spans="1:9" ht="25.5" x14ac:dyDescent="0.2">
      <c r="A638" s="2" t="s">
        <v>129</v>
      </c>
      <c r="B638" s="2" t="s">
        <v>83</v>
      </c>
      <c r="C638" s="20">
        <v>42774.743379629632</v>
      </c>
      <c r="D638" s="2" t="s">
        <v>5</v>
      </c>
      <c r="E638" s="2" t="s">
        <v>69</v>
      </c>
      <c r="F638" s="20">
        <v>42774.746655092589</v>
      </c>
      <c r="G638" s="20"/>
      <c r="H638" s="20"/>
      <c r="I638">
        <v>638</v>
      </c>
    </row>
    <row r="639" spans="1:9" ht="51" x14ac:dyDescent="0.2">
      <c r="A639" s="2" t="s">
        <v>129</v>
      </c>
      <c r="B639" s="2" t="s">
        <v>83</v>
      </c>
      <c r="C639" s="20">
        <v>42774.743379629632</v>
      </c>
      <c r="D639" s="2" t="s">
        <v>6</v>
      </c>
      <c r="E639" s="2" t="s">
        <v>105</v>
      </c>
      <c r="F639" s="20">
        <v>42774.790914351855</v>
      </c>
      <c r="G639" s="20"/>
      <c r="H639" s="20"/>
      <c r="I639">
        <v>639</v>
      </c>
    </row>
    <row r="640" spans="1:9" ht="25.5" x14ac:dyDescent="0.2">
      <c r="A640" s="2" t="s">
        <v>128</v>
      </c>
      <c r="B640" s="2" t="s">
        <v>37</v>
      </c>
      <c r="C640" s="20">
        <v>42775.37054398148</v>
      </c>
      <c r="D640" s="2" t="s">
        <v>5</v>
      </c>
      <c r="E640" s="2" t="s">
        <v>40</v>
      </c>
      <c r="F640" s="20">
        <v>42775.370625000003</v>
      </c>
      <c r="G640" s="20"/>
      <c r="H640" s="20"/>
      <c r="I640">
        <v>640</v>
      </c>
    </row>
    <row r="641" spans="1:9" ht="25.5" x14ac:dyDescent="0.2">
      <c r="A641" s="2" t="s">
        <v>128</v>
      </c>
      <c r="B641" s="2" t="s">
        <v>37</v>
      </c>
      <c r="C641" s="20">
        <v>42775.37054398148</v>
      </c>
      <c r="D641" s="2" t="s">
        <v>5</v>
      </c>
      <c r="E641" s="2" t="s">
        <v>39</v>
      </c>
      <c r="F641" s="20">
        <v>42775.3749537037</v>
      </c>
      <c r="G641" s="20"/>
      <c r="H641" s="20"/>
      <c r="I641">
        <v>641</v>
      </c>
    </row>
    <row r="642" spans="1:9" ht="63.75" x14ac:dyDescent="0.2">
      <c r="A642" s="2" t="s">
        <v>128</v>
      </c>
      <c r="B642" s="2" t="s">
        <v>37</v>
      </c>
      <c r="C642" s="20">
        <v>42775.37054398148</v>
      </c>
      <c r="D642" s="2" t="s">
        <v>6</v>
      </c>
      <c r="E642" s="2" t="s">
        <v>60</v>
      </c>
      <c r="F642" s="20">
        <v>42775.3749537037</v>
      </c>
      <c r="G642" s="20"/>
      <c r="H642" s="20"/>
      <c r="I642">
        <v>642</v>
      </c>
    </row>
    <row r="643" spans="1:9" ht="25.5" x14ac:dyDescent="0.2">
      <c r="A643" s="2" t="s">
        <v>128</v>
      </c>
      <c r="B643" s="2" t="s">
        <v>37</v>
      </c>
      <c r="C643" s="20">
        <v>42775.37054398148</v>
      </c>
      <c r="D643" s="2" t="s">
        <v>5</v>
      </c>
      <c r="E643" s="2" t="s">
        <v>69</v>
      </c>
      <c r="F643" s="20">
        <v>42775.376481481479</v>
      </c>
      <c r="G643" s="20"/>
      <c r="H643" s="20"/>
      <c r="I643">
        <v>643</v>
      </c>
    </row>
    <row r="644" spans="1:9" ht="63.75" x14ac:dyDescent="0.2">
      <c r="A644" s="2" t="s">
        <v>128</v>
      </c>
      <c r="B644" s="2" t="s">
        <v>37</v>
      </c>
      <c r="C644" s="20">
        <v>42775.37054398148</v>
      </c>
      <c r="D644" s="2" t="s">
        <v>6</v>
      </c>
      <c r="E644" s="2" t="s">
        <v>67</v>
      </c>
      <c r="F644" s="20">
        <v>42775.376620370371</v>
      </c>
      <c r="G644" s="20"/>
      <c r="H644" s="20"/>
      <c r="I644">
        <v>644</v>
      </c>
    </row>
    <row r="645" spans="1:9" ht="51" x14ac:dyDescent="0.2">
      <c r="A645" s="2" t="s">
        <v>128</v>
      </c>
      <c r="B645" s="2" t="s">
        <v>37</v>
      </c>
      <c r="C645" s="20">
        <v>42775.37054398148</v>
      </c>
      <c r="D645" s="2" t="s">
        <v>6</v>
      </c>
      <c r="E645" s="2" t="s">
        <v>105</v>
      </c>
      <c r="F645" s="20">
        <v>42775.393634259257</v>
      </c>
      <c r="G645" s="20"/>
      <c r="H645" s="20"/>
      <c r="I645">
        <v>645</v>
      </c>
    </row>
    <row r="646" spans="1:9" ht="25.5" x14ac:dyDescent="0.2">
      <c r="A646" s="2" t="s">
        <v>127</v>
      </c>
      <c r="B646" s="2" t="s">
        <v>37</v>
      </c>
      <c r="C646" s="20">
        <v>42775.375752314816</v>
      </c>
      <c r="D646" s="2" t="s">
        <v>5</v>
      </c>
      <c r="E646" s="2" t="s">
        <v>40</v>
      </c>
      <c r="F646" s="20">
        <v>42775.375775462962</v>
      </c>
      <c r="G646" s="20"/>
      <c r="H646" s="20"/>
      <c r="I646">
        <v>646</v>
      </c>
    </row>
    <row r="647" spans="1:9" ht="25.5" x14ac:dyDescent="0.2">
      <c r="A647" s="2" t="s">
        <v>127</v>
      </c>
      <c r="B647" s="2" t="s">
        <v>37</v>
      </c>
      <c r="C647" s="20">
        <v>42775.375752314816</v>
      </c>
      <c r="D647" s="2" t="s">
        <v>5</v>
      </c>
      <c r="E647" s="2" t="s">
        <v>39</v>
      </c>
      <c r="F647" s="20">
        <v>42775.377858796295</v>
      </c>
      <c r="G647" s="20"/>
      <c r="H647" s="20"/>
      <c r="I647">
        <v>647</v>
      </c>
    </row>
    <row r="648" spans="1:9" ht="25.5" x14ac:dyDescent="0.2">
      <c r="A648" s="2" t="s">
        <v>127</v>
      </c>
      <c r="B648" s="2" t="s">
        <v>37</v>
      </c>
      <c r="C648" s="20">
        <v>42775.375752314816</v>
      </c>
      <c r="D648" s="2" t="s">
        <v>5</v>
      </c>
      <c r="E648" s="2" t="s">
        <v>71</v>
      </c>
      <c r="F648" s="20">
        <v>42775.458668981482</v>
      </c>
      <c r="G648" s="20"/>
      <c r="H648" s="20"/>
      <c r="I648">
        <v>648</v>
      </c>
    </row>
    <row r="649" spans="1:9" ht="63.75" x14ac:dyDescent="0.2">
      <c r="A649" s="2" t="s">
        <v>127</v>
      </c>
      <c r="B649" s="2" t="s">
        <v>37</v>
      </c>
      <c r="C649" s="20">
        <v>42775.375752314816</v>
      </c>
      <c r="D649" s="2" t="s">
        <v>6</v>
      </c>
      <c r="E649" s="2" t="s">
        <v>102</v>
      </c>
      <c r="F649" s="20">
        <v>42776.670717592591</v>
      </c>
      <c r="G649" s="20"/>
      <c r="H649" s="20"/>
      <c r="I649">
        <v>649</v>
      </c>
    </row>
    <row r="650" spans="1:9" ht="25.5" x14ac:dyDescent="0.2">
      <c r="A650" s="2" t="s">
        <v>126</v>
      </c>
      <c r="B650" s="2" t="s">
        <v>37</v>
      </c>
      <c r="C650" s="20">
        <v>42775.407037037039</v>
      </c>
      <c r="D650" s="2" t="s">
        <v>5</v>
      </c>
      <c r="E650" s="2" t="s">
        <v>40</v>
      </c>
      <c r="F650" s="20">
        <v>42775.407094907408</v>
      </c>
      <c r="G650" s="20"/>
      <c r="H650" s="20"/>
      <c r="I650">
        <v>650</v>
      </c>
    </row>
    <row r="651" spans="1:9" ht="25.5" x14ac:dyDescent="0.2">
      <c r="A651" s="2" t="s">
        <v>126</v>
      </c>
      <c r="B651" s="2" t="s">
        <v>37</v>
      </c>
      <c r="C651" s="20">
        <v>42775.407037037039</v>
      </c>
      <c r="D651" s="2" t="s">
        <v>5</v>
      </c>
      <c r="E651" s="2" t="s">
        <v>39</v>
      </c>
      <c r="F651" s="20">
        <v>42775.408263888887</v>
      </c>
      <c r="G651" s="20"/>
      <c r="H651" s="20"/>
      <c r="I651">
        <v>651</v>
      </c>
    </row>
    <row r="652" spans="1:9" ht="51" x14ac:dyDescent="0.2">
      <c r="A652" s="2" t="s">
        <v>126</v>
      </c>
      <c r="B652" s="2" t="s">
        <v>37</v>
      </c>
      <c r="C652" s="20">
        <v>42775.407037037039</v>
      </c>
      <c r="D652" s="2" t="s">
        <v>6</v>
      </c>
      <c r="E652" s="2" t="s">
        <v>77</v>
      </c>
      <c r="F652" s="20">
        <v>42775.408263888887</v>
      </c>
      <c r="G652" s="20"/>
      <c r="H652" s="20"/>
      <c r="I652">
        <v>652</v>
      </c>
    </row>
    <row r="653" spans="1:9" ht="25.5" x14ac:dyDescent="0.2">
      <c r="A653" s="2" t="s">
        <v>125</v>
      </c>
      <c r="B653" s="2" t="s">
        <v>37</v>
      </c>
      <c r="C653" s="20">
        <v>42775.410856481481</v>
      </c>
      <c r="D653" s="2" t="s">
        <v>5</v>
      </c>
      <c r="E653" s="2" t="s">
        <v>40</v>
      </c>
      <c r="F653" s="20">
        <v>42775.410879629628</v>
      </c>
      <c r="G653" s="20"/>
      <c r="H653" s="20"/>
      <c r="I653">
        <v>653</v>
      </c>
    </row>
    <row r="654" spans="1:9" ht="25.5" x14ac:dyDescent="0.2">
      <c r="A654" s="2" t="s">
        <v>125</v>
      </c>
      <c r="B654" s="2" t="s">
        <v>37</v>
      </c>
      <c r="C654" s="20">
        <v>42775.410856481481</v>
      </c>
      <c r="D654" s="2" t="s">
        <v>5</v>
      </c>
      <c r="E654" s="2" t="s">
        <v>39</v>
      </c>
      <c r="F654" s="20">
        <v>42775.411863425928</v>
      </c>
      <c r="G654" s="20"/>
      <c r="H654" s="20"/>
      <c r="I654">
        <v>654</v>
      </c>
    </row>
    <row r="655" spans="1:9" ht="51" x14ac:dyDescent="0.2">
      <c r="A655" s="2" t="s">
        <v>125</v>
      </c>
      <c r="B655" s="2" t="s">
        <v>37</v>
      </c>
      <c r="C655" s="20">
        <v>42775.410856481481</v>
      </c>
      <c r="D655" s="2" t="s">
        <v>6</v>
      </c>
      <c r="E655" s="2" t="s">
        <v>77</v>
      </c>
      <c r="F655" s="20">
        <v>42775.411863425928</v>
      </c>
      <c r="G655" s="20"/>
      <c r="H655" s="20"/>
      <c r="I655">
        <v>655</v>
      </c>
    </row>
    <row r="656" spans="1:9" ht="25.5" x14ac:dyDescent="0.2">
      <c r="A656" s="2" t="s">
        <v>124</v>
      </c>
      <c r="B656" s="2" t="s">
        <v>37</v>
      </c>
      <c r="C656" s="20">
        <v>42775.415555555555</v>
      </c>
      <c r="D656" s="2" t="s">
        <v>5</v>
      </c>
      <c r="E656" s="2" t="s">
        <v>40</v>
      </c>
      <c r="F656" s="20">
        <v>42775.415578703702</v>
      </c>
      <c r="G656" s="20"/>
      <c r="H656" s="20"/>
      <c r="I656">
        <v>656</v>
      </c>
    </row>
    <row r="657" spans="1:9" ht="25.5" x14ac:dyDescent="0.2">
      <c r="A657" s="2" t="s">
        <v>124</v>
      </c>
      <c r="B657" s="2" t="s">
        <v>37</v>
      </c>
      <c r="C657" s="20">
        <v>42775.415555555555</v>
      </c>
      <c r="D657" s="2" t="s">
        <v>5</v>
      </c>
      <c r="E657" s="2" t="s">
        <v>39</v>
      </c>
      <c r="F657" s="20">
        <v>42775.423738425925</v>
      </c>
      <c r="G657" s="20"/>
      <c r="H657" s="20"/>
      <c r="I657">
        <v>657</v>
      </c>
    </row>
    <row r="658" spans="1:9" ht="63.75" x14ac:dyDescent="0.2">
      <c r="A658" s="2" t="s">
        <v>124</v>
      </c>
      <c r="B658" s="2" t="s">
        <v>37</v>
      </c>
      <c r="C658" s="20">
        <v>42775.415555555555</v>
      </c>
      <c r="D658" s="2" t="s">
        <v>6</v>
      </c>
      <c r="E658" s="2" t="s">
        <v>47</v>
      </c>
      <c r="F658" s="20">
        <v>42775.423738425925</v>
      </c>
      <c r="G658" s="20"/>
      <c r="H658" s="20"/>
      <c r="I658">
        <v>658</v>
      </c>
    </row>
    <row r="659" spans="1:9" ht="25.5" x14ac:dyDescent="0.2">
      <c r="A659" s="2" t="s">
        <v>124</v>
      </c>
      <c r="B659" s="2" t="s">
        <v>37</v>
      </c>
      <c r="C659" s="20">
        <v>42775.415555555555</v>
      </c>
      <c r="D659" s="2" t="s">
        <v>5</v>
      </c>
      <c r="E659" s="2" t="s">
        <v>71</v>
      </c>
      <c r="F659" s="20">
        <v>42775.438449074078</v>
      </c>
      <c r="G659" s="20"/>
      <c r="H659" s="20"/>
      <c r="I659">
        <v>659</v>
      </c>
    </row>
    <row r="660" spans="1:9" ht="25.5" x14ac:dyDescent="0.2">
      <c r="A660" s="2" t="s">
        <v>123</v>
      </c>
      <c r="B660" s="2" t="s">
        <v>37</v>
      </c>
      <c r="C660" s="20">
        <v>42775.416875000003</v>
      </c>
      <c r="D660" s="2" t="s">
        <v>5</v>
      </c>
      <c r="E660" s="2" t="s">
        <v>40</v>
      </c>
      <c r="F660" s="20">
        <v>42775.416944444441</v>
      </c>
      <c r="G660" s="20"/>
      <c r="H660" s="20"/>
      <c r="I660">
        <v>660</v>
      </c>
    </row>
    <row r="661" spans="1:9" ht="25.5" x14ac:dyDescent="0.2">
      <c r="A661" s="2" t="s">
        <v>123</v>
      </c>
      <c r="B661" s="2" t="s">
        <v>37</v>
      </c>
      <c r="C661" s="20">
        <v>42775.416875000003</v>
      </c>
      <c r="D661" s="2" t="s">
        <v>5</v>
      </c>
      <c r="E661" s="2" t="s">
        <v>39</v>
      </c>
      <c r="F661" s="20">
        <v>42775.422800925924</v>
      </c>
      <c r="G661" s="20"/>
      <c r="H661" s="20"/>
      <c r="I661">
        <v>661</v>
      </c>
    </row>
    <row r="662" spans="1:9" ht="25.5" x14ac:dyDescent="0.2">
      <c r="A662" s="2" t="s">
        <v>123</v>
      </c>
      <c r="B662" s="2" t="s">
        <v>37</v>
      </c>
      <c r="C662" s="20">
        <v>42775.416875000003</v>
      </c>
      <c r="D662" s="2" t="s">
        <v>5</v>
      </c>
      <c r="E662" s="2" t="s">
        <v>65</v>
      </c>
      <c r="F662" s="20">
        <v>42775.426435185182</v>
      </c>
      <c r="G662" s="20"/>
      <c r="H662" s="20"/>
      <c r="I662">
        <v>662</v>
      </c>
    </row>
    <row r="663" spans="1:9" ht="63.75" x14ac:dyDescent="0.2">
      <c r="A663" s="2" t="s">
        <v>123</v>
      </c>
      <c r="B663" s="2" t="s">
        <v>37</v>
      </c>
      <c r="C663" s="20">
        <v>42775.416875000003</v>
      </c>
      <c r="D663" s="2" t="s">
        <v>6</v>
      </c>
      <c r="E663" s="2" t="s">
        <v>73</v>
      </c>
      <c r="F663" s="20">
        <v>42775.552812499998</v>
      </c>
      <c r="G663" s="20"/>
      <c r="H663" s="20"/>
      <c r="I663">
        <v>663</v>
      </c>
    </row>
    <row r="664" spans="1:9" ht="25.5" x14ac:dyDescent="0.2">
      <c r="A664" s="2" t="s">
        <v>122</v>
      </c>
      <c r="B664" s="2" t="s">
        <v>37</v>
      </c>
      <c r="C664" s="20">
        <v>42775.423541666663</v>
      </c>
      <c r="D664" s="2" t="s">
        <v>5</v>
      </c>
      <c r="E664" s="2" t="s">
        <v>40</v>
      </c>
      <c r="F664" s="20">
        <v>42775.42355324074</v>
      </c>
      <c r="G664" s="20"/>
      <c r="H664" s="20"/>
      <c r="I664">
        <v>664</v>
      </c>
    </row>
    <row r="665" spans="1:9" ht="25.5" x14ac:dyDescent="0.2">
      <c r="A665" s="2" t="s">
        <v>122</v>
      </c>
      <c r="B665" s="2" t="s">
        <v>37</v>
      </c>
      <c r="C665" s="20">
        <v>42775.423541666663</v>
      </c>
      <c r="D665" s="2" t="s">
        <v>5</v>
      </c>
      <c r="E665" s="2" t="s">
        <v>39</v>
      </c>
      <c r="F665" s="20">
        <v>42775.424247685187</v>
      </c>
      <c r="G665" s="20"/>
      <c r="H665" s="20"/>
      <c r="I665">
        <v>665</v>
      </c>
    </row>
    <row r="666" spans="1:9" ht="63.75" x14ac:dyDescent="0.2">
      <c r="A666" s="2" t="s">
        <v>122</v>
      </c>
      <c r="B666" s="2" t="s">
        <v>37</v>
      </c>
      <c r="C666" s="20">
        <v>42775.423541666663</v>
      </c>
      <c r="D666" s="2" t="s">
        <v>6</v>
      </c>
      <c r="E666" s="2" t="s">
        <v>96</v>
      </c>
      <c r="F666" s="20">
        <v>42775.459270833337</v>
      </c>
      <c r="G666" s="20"/>
      <c r="H666" s="20"/>
      <c r="I666">
        <v>666</v>
      </c>
    </row>
    <row r="667" spans="1:9" ht="25.5" x14ac:dyDescent="0.2">
      <c r="A667" s="2" t="s">
        <v>121</v>
      </c>
      <c r="B667" s="2" t="s">
        <v>37</v>
      </c>
      <c r="C667" s="20">
        <v>42775.425416666665</v>
      </c>
      <c r="D667" s="2" t="s">
        <v>5</v>
      </c>
      <c r="E667" s="2" t="s">
        <v>40</v>
      </c>
      <c r="F667" s="20">
        <v>42775.425497685188</v>
      </c>
      <c r="G667" s="20"/>
      <c r="H667" s="20"/>
      <c r="I667">
        <v>667</v>
      </c>
    </row>
    <row r="668" spans="1:9" ht="25.5" x14ac:dyDescent="0.2">
      <c r="A668" s="2" t="s">
        <v>121</v>
      </c>
      <c r="B668" s="2" t="s">
        <v>37</v>
      </c>
      <c r="C668" s="20">
        <v>42775.425416666665</v>
      </c>
      <c r="D668" s="2" t="s">
        <v>5</v>
      </c>
      <c r="E668" s="2" t="s">
        <v>39</v>
      </c>
      <c r="F668" s="20">
        <v>42775.427951388891</v>
      </c>
      <c r="G668" s="20"/>
      <c r="H668" s="20"/>
      <c r="I668">
        <v>668</v>
      </c>
    </row>
    <row r="669" spans="1:9" ht="51" x14ac:dyDescent="0.2">
      <c r="A669" s="2" t="s">
        <v>121</v>
      </c>
      <c r="B669" s="2" t="s">
        <v>37</v>
      </c>
      <c r="C669" s="20">
        <v>42775.425416666665</v>
      </c>
      <c r="D669" s="2" t="s">
        <v>6</v>
      </c>
      <c r="E669" s="2" t="s">
        <v>58</v>
      </c>
      <c r="F669" s="20">
        <v>42775.427951388891</v>
      </c>
      <c r="G669" s="20"/>
      <c r="H669" s="20"/>
      <c r="I669">
        <v>669</v>
      </c>
    </row>
    <row r="670" spans="1:9" ht="25.5" x14ac:dyDescent="0.2">
      <c r="A670" s="2" t="s">
        <v>121</v>
      </c>
      <c r="B670" s="2" t="s">
        <v>37</v>
      </c>
      <c r="C670" s="20">
        <v>42775.425416666665</v>
      </c>
      <c r="D670" s="2" t="s">
        <v>5</v>
      </c>
      <c r="E670" s="2" t="s">
        <v>69</v>
      </c>
      <c r="F670" s="20">
        <v>42775.469849537039</v>
      </c>
      <c r="G670" s="20"/>
      <c r="H670" s="20"/>
      <c r="I670">
        <v>670</v>
      </c>
    </row>
    <row r="671" spans="1:9" ht="51" x14ac:dyDescent="0.2">
      <c r="A671" s="2" t="s">
        <v>121</v>
      </c>
      <c r="B671" s="2" t="s">
        <v>37</v>
      </c>
      <c r="C671" s="20">
        <v>42775.425416666665</v>
      </c>
      <c r="D671" s="2" t="s">
        <v>6</v>
      </c>
      <c r="E671" s="2" t="s">
        <v>105</v>
      </c>
      <c r="F671" s="20">
        <v>42775.47215277778</v>
      </c>
      <c r="G671" s="20"/>
      <c r="H671" s="20"/>
      <c r="I671">
        <v>671</v>
      </c>
    </row>
    <row r="672" spans="1:9" ht="25.5" x14ac:dyDescent="0.2">
      <c r="A672" s="2" t="s">
        <v>119</v>
      </c>
      <c r="B672" s="2" t="s">
        <v>37</v>
      </c>
      <c r="C672" s="20">
        <v>42775.454594907409</v>
      </c>
      <c r="D672" s="2" t="s">
        <v>5</v>
      </c>
      <c r="E672" s="2" t="s">
        <v>40</v>
      </c>
      <c r="F672" s="20">
        <v>42775.454606481479</v>
      </c>
      <c r="G672" s="20"/>
      <c r="H672" s="20"/>
      <c r="I672">
        <v>672</v>
      </c>
    </row>
    <row r="673" spans="1:9" ht="25.5" x14ac:dyDescent="0.2">
      <c r="A673" s="2" t="s">
        <v>119</v>
      </c>
      <c r="B673" s="2" t="s">
        <v>37</v>
      </c>
      <c r="C673" s="20">
        <v>42775.454594907409</v>
      </c>
      <c r="D673" s="2" t="s">
        <v>5</v>
      </c>
      <c r="E673" s="2" t="s">
        <v>39</v>
      </c>
      <c r="F673" s="20">
        <v>42775.458668981482</v>
      </c>
      <c r="G673" s="20"/>
      <c r="H673" s="20"/>
      <c r="I673">
        <v>673</v>
      </c>
    </row>
    <row r="674" spans="1:9" ht="51" x14ac:dyDescent="0.2">
      <c r="A674" s="2" t="s">
        <v>119</v>
      </c>
      <c r="B674" s="2" t="s">
        <v>37</v>
      </c>
      <c r="C674" s="20">
        <v>42775.454594907409</v>
      </c>
      <c r="D674" s="2" t="s">
        <v>6</v>
      </c>
      <c r="E674" s="2" t="s">
        <v>58</v>
      </c>
      <c r="F674" s="20">
        <v>42775.458668981482</v>
      </c>
      <c r="G674" s="20"/>
      <c r="H674" s="20"/>
      <c r="I674">
        <v>674</v>
      </c>
    </row>
    <row r="675" spans="1:9" ht="25.5" x14ac:dyDescent="0.2">
      <c r="A675" s="2" t="s">
        <v>119</v>
      </c>
      <c r="B675" s="2" t="s">
        <v>37</v>
      </c>
      <c r="C675" s="20">
        <v>42775.454594907409</v>
      </c>
      <c r="D675" s="2" t="s">
        <v>5</v>
      </c>
      <c r="E675" s="2" t="s">
        <v>120</v>
      </c>
      <c r="F675" s="20">
        <v>42775.469270833331</v>
      </c>
      <c r="G675" s="20"/>
      <c r="H675" s="20"/>
      <c r="I675">
        <v>675</v>
      </c>
    </row>
    <row r="676" spans="1:9" ht="25.5" x14ac:dyDescent="0.2">
      <c r="A676" s="2" t="s">
        <v>119</v>
      </c>
      <c r="B676" s="2" t="s">
        <v>37</v>
      </c>
      <c r="C676" s="20">
        <v>42775.454594907409</v>
      </c>
      <c r="D676" s="2" t="s">
        <v>5</v>
      </c>
      <c r="E676" s="2" t="s">
        <v>69</v>
      </c>
      <c r="F676" s="20">
        <v>42775.48300925926</v>
      </c>
      <c r="G676" s="20"/>
      <c r="H676" s="20"/>
      <c r="I676">
        <v>676</v>
      </c>
    </row>
    <row r="677" spans="1:9" ht="63.75" x14ac:dyDescent="0.2">
      <c r="A677" s="2" t="s">
        <v>119</v>
      </c>
      <c r="B677" s="2" t="s">
        <v>37</v>
      </c>
      <c r="C677" s="20">
        <v>42775.454594907409</v>
      </c>
      <c r="D677" s="2" t="s">
        <v>6</v>
      </c>
      <c r="E677" s="2" t="s">
        <v>67</v>
      </c>
      <c r="F677" s="20">
        <v>42775.54011574074</v>
      </c>
      <c r="G677" s="20"/>
      <c r="H677" s="20"/>
      <c r="I677">
        <v>677</v>
      </c>
    </row>
    <row r="678" spans="1:9" ht="25.5" x14ac:dyDescent="0.2">
      <c r="A678" s="2" t="s">
        <v>118</v>
      </c>
      <c r="B678" s="2" t="s">
        <v>37</v>
      </c>
      <c r="C678" s="20">
        <v>42775.455937500003</v>
      </c>
      <c r="D678" s="2" t="s">
        <v>5</v>
      </c>
      <c r="E678" s="2" t="s">
        <v>40</v>
      </c>
      <c r="F678" s="20">
        <v>42775.455949074072</v>
      </c>
      <c r="G678" s="20"/>
      <c r="H678" s="20"/>
      <c r="I678">
        <v>678</v>
      </c>
    </row>
    <row r="679" spans="1:9" ht="25.5" x14ac:dyDescent="0.2">
      <c r="A679" s="2" t="s">
        <v>118</v>
      </c>
      <c r="B679" s="2" t="s">
        <v>37</v>
      </c>
      <c r="C679" s="20">
        <v>42775.455937500003</v>
      </c>
      <c r="D679" s="2" t="s">
        <v>5</v>
      </c>
      <c r="E679" s="2" t="s">
        <v>39</v>
      </c>
      <c r="F679" s="20">
        <v>42775.456550925926</v>
      </c>
      <c r="G679" s="20"/>
      <c r="H679" s="20"/>
      <c r="I679">
        <v>679</v>
      </c>
    </row>
    <row r="680" spans="1:9" ht="63.75" x14ac:dyDescent="0.2">
      <c r="A680" s="2" t="s">
        <v>118</v>
      </c>
      <c r="B680" s="2" t="s">
        <v>37</v>
      </c>
      <c r="C680" s="20">
        <v>42775.455937500003</v>
      </c>
      <c r="D680" s="2" t="s">
        <v>6</v>
      </c>
      <c r="E680" s="2" t="s">
        <v>60</v>
      </c>
      <c r="F680" s="20">
        <v>42775.459351851852</v>
      </c>
      <c r="G680" s="20"/>
      <c r="H680" s="20"/>
      <c r="I680">
        <v>680</v>
      </c>
    </row>
    <row r="681" spans="1:9" ht="63.75" x14ac:dyDescent="0.2">
      <c r="A681" s="2" t="s">
        <v>118</v>
      </c>
      <c r="B681" s="2" t="s">
        <v>37</v>
      </c>
      <c r="C681" s="20">
        <v>42775.455937500003</v>
      </c>
      <c r="D681" s="2" t="s">
        <v>6</v>
      </c>
      <c r="E681" s="2" t="s">
        <v>47</v>
      </c>
      <c r="F681" s="20">
        <v>42776.651921296296</v>
      </c>
      <c r="G681" s="20"/>
      <c r="H681" s="20"/>
      <c r="I681">
        <v>681</v>
      </c>
    </row>
    <row r="682" spans="1:9" ht="25.5" x14ac:dyDescent="0.2">
      <c r="A682" s="2" t="s">
        <v>117</v>
      </c>
      <c r="B682" s="2" t="s">
        <v>37</v>
      </c>
      <c r="C682" s="20">
        <v>42775.46162037037</v>
      </c>
      <c r="D682" s="2" t="s">
        <v>5</v>
      </c>
      <c r="E682" s="2" t="s">
        <v>40</v>
      </c>
      <c r="F682" s="20">
        <v>42775.461678240739</v>
      </c>
      <c r="G682" s="20"/>
      <c r="H682" s="20"/>
      <c r="I682">
        <v>682</v>
      </c>
    </row>
    <row r="683" spans="1:9" ht="25.5" x14ac:dyDescent="0.2">
      <c r="A683" s="2" t="s">
        <v>117</v>
      </c>
      <c r="B683" s="2" t="s">
        <v>37</v>
      </c>
      <c r="C683" s="20">
        <v>42775.46162037037</v>
      </c>
      <c r="D683" s="2" t="s">
        <v>5</v>
      </c>
      <c r="E683" s="2" t="s">
        <v>39</v>
      </c>
      <c r="F683" s="20">
        <v>42775.462152777778</v>
      </c>
      <c r="G683" s="20"/>
      <c r="H683" s="20"/>
      <c r="I683">
        <v>683</v>
      </c>
    </row>
    <row r="684" spans="1:9" ht="63.75" x14ac:dyDescent="0.2">
      <c r="A684" s="2" t="s">
        <v>117</v>
      </c>
      <c r="B684" s="2" t="s">
        <v>37</v>
      </c>
      <c r="C684" s="20">
        <v>42775.46162037037</v>
      </c>
      <c r="D684" s="2" t="s">
        <v>6</v>
      </c>
      <c r="E684" s="2" t="s">
        <v>60</v>
      </c>
      <c r="F684" s="20">
        <v>42775.463078703702</v>
      </c>
      <c r="G684" s="20"/>
      <c r="H684" s="20"/>
      <c r="I684">
        <v>684</v>
      </c>
    </row>
    <row r="685" spans="1:9" ht="25.5" x14ac:dyDescent="0.2">
      <c r="A685" s="2" t="s">
        <v>116</v>
      </c>
      <c r="B685" s="2" t="s">
        <v>37</v>
      </c>
      <c r="C685" s="20">
        <v>42775.472511574073</v>
      </c>
      <c r="D685" s="2" t="s">
        <v>5</v>
      </c>
      <c r="E685" s="2" t="s">
        <v>40</v>
      </c>
      <c r="F685" s="20">
        <v>42775.472604166665</v>
      </c>
      <c r="G685" s="20"/>
      <c r="H685" s="20"/>
      <c r="I685">
        <v>685</v>
      </c>
    </row>
    <row r="686" spans="1:9" ht="25.5" x14ac:dyDescent="0.2">
      <c r="A686" s="2" t="s">
        <v>116</v>
      </c>
      <c r="B686" s="2" t="s">
        <v>37</v>
      </c>
      <c r="C686" s="20">
        <v>42775.472511574073</v>
      </c>
      <c r="D686" s="2" t="s">
        <v>5</v>
      </c>
      <c r="E686" s="2" t="s">
        <v>39</v>
      </c>
      <c r="F686" s="20">
        <v>42775.479953703703</v>
      </c>
      <c r="G686" s="20"/>
      <c r="H686" s="20"/>
      <c r="I686">
        <v>686</v>
      </c>
    </row>
    <row r="687" spans="1:9" ht="63.75" x14ac:dyDescent="0.2">
      <c r="A687" s="2" t="s">
        <v>116</v>
      </c>
      <c r="B687" s="2" t="s">
        <v>37</v>
      </c>
      <c r="C687" s="20">
        <v>42775.472511574073</v>
      </c>
      <c r="D687" s="2" t="s">
        <v>6</v>
      </c>
      <c r="E687" s="2" t="s">
        <v>115</v>
      </c>
      <c r="F687" s="20">
        <v>42775.479953703703</v>
      </c>
      <c r="G687" s="20"/>
      <c r="H687" s="20"/>
      <c r="I687">
        <v>687</v>
      </c>
    </row>
    <row r="688" spans="1:9" ht="25.5" x14ac:dyDescent="0.2">
      <c r="A688" s="2" t="s">
        <v>114</v>
      </c>
      <c r="B688" s="2" t="s">
        <v>37</v>
      </c>
      <c r="C688" s="20">
        <v>42775.473414351851</v>
      </c>
      <c r="D688" s="2" t="s">
        <v>5</v>
      </c>
      <c r="E688" s="2" t="s">
        <v>40</v>
      </c>
      <c r="F688" s="20">
        <v>42775.473437499997</v>
      </c>
      <c r="G688" s="20"/>
      <c r="H688" s="20"/>
      <c r="I688">
        <v>688</v>
      </c>
    </row>
    <row r="689" spans="1:9" ht="25.5" x14ac:dyDescent="0.2">
      <c r="A689" s="2" t="s">
        <v>114</v>
      </c>
      <c r="B689" s="2" t="s">
        <v>37</v>
      </c>
      <c r="C689" s="20">
        <v>42775.473414351851</v>
      </c>
      <c r="D689" s="2" t="s">
        <v>5</v>
      </c>
      <c r="E689" s="2" t="s">
        <v>71</v>
      </c>
      <c r="F689" s="20">
        <v>42775.474722222221</v>
      </c>
      <c r="G689" s="20"/>
      <c r="H689" s="20"/>
      <c r="I689">
        <v>689</v>
      </c>
    </row>
    <row r="690" spans="1:9" ht="63.75" x14ac:dyDescent="0.2">
      <c r="A690" s="2" t="s">
        <v>114</v>
      </c>
      <c r="B690" s="2" t="s">
        <v>37</v>
      </c>
      <c r="C690" s="20">
        <v>42775.473414351851</v>
      </c>
      <c r="D690" s="2" t="s">
        <v>6</v>
      </c>
      <c r="E690" s="2" t="s">
        <v>102</v>
      </c>
      <c r="F690" s="20">
        <v>42776.676886574074</v>
      </c>
      <c r="G690" s="20"/>
      <c r="H690" s="20"/>
      <c r="I690">
        <v>690</v>
      </c>
    </row>
    <row r="691" spans="1:9" ht="25.5" x14ac:dyDescent="0.2">
      <c r="A691" s="2" t="s">
        <v>113</v>
      </c>
      <c r="B691" s="2" t="s">
        <v>37</v>
      </c>
      <c r="C691" s="20">
        <v>42775.498229166667</v>
      </c>
      <c r="D691" s="2" t="s">
        <v>5</v>
      </c>
      <c r="E691" s="2" t="s">
        <v>40</v>
      </c>
      <c r="F691" s="20">
        <v>42775.498263888891</v>
      </c>
      <c r="G691" s="20"/>
      <c r="H691" s="20"/>
      <c r="I691">
        <v>691</v>
      </c>
    </row>
    <row r="692" spans="1:9" ht="25.5" x14ac:dyDescent="0.2">
      <c r="A692" s="2" t="s">
        <v>113</v>
      </c>
      <c r="B692" s="2" t="s">
        <v>37</v>
      </c>
      <c r="C692" s="20">
        <v>42775.498229166667</v>
      </c>
      <c r="D692" s="2" t="s">
        <v>5</v>
      </c>
      <c r="E692" s="2" t="s">
        <v>39</v>
      </c>
      <c r="F692" s="20">
        <v>42775.499432870369</v>
      </c>
      <c r="G692" s="20"/>
      <c r="H692" s="20"/>
      <c r="I692">
        <v>692</v>
      </c>
    </row>
    <row r="693" spans="1:9" ht="63.75" x14ac:dyDescent="0.2">
      <c r="A693" s="2" t="s">
        <v>113</v>
      </c>
      <c r="B693" s="2" t="s">
        <v>37</v>
      </c>
      <c r="C693" s="20">
        <v>42775.498229166667</v>
      </c>
      <c r="D693" s="2" t="s">
        <v>6</v>
      </c>
      <c r="E693" s="2" t="s">
        <v>96</v>
      </c>
      <c r="F693" s="20">
        <v>42775.529016203705</v>
      </c>
      <c r="G693" s="20"/>
      <c r="H693" s="20"/>
      <c r="I693">
        <v>693</v>
      </c>
    </row>
    <row r="694" spans="1:9" ht="25.5" x14ac:dyDescent="0.2">
      <c r="A694" s="2" t="s">
        <v>113</v>
      </c>
      <c r="B694" s="2" t="s">
        <v>37</v>
      </c>
      <c r="C694" s="20">
        <v>42775.498229166667</v>
      </c>
      <c r="D694" s="2" t="s">
        <v>5</v>
      </c>
      <c r="E694" s="2" t="s">
        <v>71</v>
      </c>
      <c r="F694" s="20">
        <v>42775.530150462961</v>
      </c>
      <c r="G694" s="20"/>
      <c r="H694" s="20"/>
      <c r="I694">
        <v>694</v>
      </c>
    </row>
    <row r="695" spans="1:9" ht="63.75" x14ac:dyDescent="0.2">
      <c r="A695" s="2" t="s">
        <v>113</v>
      </c>
      <c r="B695" s="2" t="s">
        <v>37</v>
      </c>
      <c r="C695" s="20">
        <v>42775.498229166667</v>
      </c>
      <c r="D695" s="2" t="s">
        <v>6</v>
      </c>
      <c r="E695" s="2" t="s">
        <v>102</v>
      </c>
      <c r="F695" s="20">
        <v>42775.583622685182</v>
      </c>
      <c r="G695" s="20"/>
      <c r="H695" s="20"/>
      <c r="I695">
        <v>695</v>
      </c>
    </row>
    <row r="696" spans="1:9" ht="25.5" x14ac:dyDescent="0.2">
      <c r="A696" s="2" t="s">
        <v>112</v>
      </c>
      <c r="B696" s="2" t="s">
        <v>37</v>
      </c>
      <c r="C696" s="20">
        <v>42775.501759259256</v>
      </c>
      <c r="D696" s="2" t="s">
        <v>5</v>
      </c>
      <c r="E696" s="2" t="s">
        <v>40</v>
      </c>
      <c r="F696" s="20">
        <v>42775.501770833333</v>
      </c>
      <c r="G696" s="20"/>
      <c r="H696" s="20"/>
      <c r="I696">
        <v>696</v>
      </c>
    </row>
    <row r="697" spans="1:9" ht="25.5" x14ac:dyDescent="0.2">
      <c r="A697" s="2" t="s">
        <v>112</v>
      </c>
      <c r="B697" s="2" t="s">
        <v>37</v>
      </c>
      <c r="C697" s="20">
        <v>42775.501759259256</v>
      </c>
      <c r="D697" s="2" t="s">
        <v>5</v>
      </c>
      <c r="E697" s="2" t="s">
        <v>39</v>
      </c>
      <c r="F697" s="20">
        <v>42775.503055555557</v>
      </c>
      <c r="G697" s="20"/>
      <c r="H697" s="20"/>
      <c r="I697">
        <v>697</v>
      </c>
    </row>
    <row r="698" spans="1:9" ht="63.75" x14ac:dyDescent="0.2">
      <c r="A698" s="2" t="s">
        <v>112</v>
      </c>
      <c r="B698" s="2" t="s">
        <v>37</v>
      </c>
      <c r="C698" s="20">
        <v>42775.501759259256</v>
      </c>
      <c r="D698" s="2" t="s">
        <v>6</v>
      </c>
      <c r="E698" s="2" t="s">
        <v>41</v>
      </c>
      <c r="F698" s="20">
        <v>42775.50445601852</v>
      </c>
      <c r="G698" s="20"/>
      <c r="H698" s="20"/>
      <c r="I698">
        <v>698</v>
      </c>
    </row>
    <row r="699" spans="1:9" ht="25.5" x14ac:dyDescent="0.2">
      <c r="A699" s="2" t="s">
        <v>112</v>
      </c>
      <c r="B699" s="2" t="s">
        <v>37</v>
      </c>
      <c r="C699" s="20">
        <v>42775.501759259256</v>
      </c>
      <c r="D699" s="2" t="s">
        <v>5</v>
      </c>
      <c r="E699" s="2" t="s">
        <v>69</v>
      </c>
      <c r="F699" s="20">
        <v>42776.477962962963</v>
      </c>
      <c r="G699" s="20"/>
      <c r="H699" s="20"/>
      <c r="I699">
        <v>699</v>
      </c>
    </row>
    <row r="700" spans="1:9" ht="63.75" x14ac:dyDescent="0.2">
      <c r="A700" s="2" t="s">
        <v>112</v>
      </c>
      <c r="B700" s="2" t="s">
        <v>37</v>
      </c>
      <c r="C700" s="20">
        <v>42775.501759259256</v>
      </c>
      <c r="D700" s="2" t="s">
        <v>6</v>
      </c>
      <c r="E700" s="2" t="s">
        <v>67</v>
      </c>
      <c r="F700" s="20">
        <v>42776.554236111115</v>
      </c>
      <c r="G700" s="20"/>
      <c r="H700" s="20"/>
      <c r="I700">
        <v>700</v>
      </c>
    </row>
    <row r="701" spans="1:9" ht="25.5" x14ac:dyDescent="0.2">
      <c r="A701" s="2" t="s">
        <v>111</v>
      </c>
      <c r="B701" s="2" t="s">
        <v>37</v>
      </c>
      <c r="C701" s="20">
        <v>42775.508784722224</v>
      </c>
      <c r="D701" s="2" t="s">
        <v>5</v>
      </c>
      <c r="E701" s="2" t="s">
        <v>40</v>
      </c>
      <c r="F701" s="20">
        <v>42775.508842592593</v>
      </c>
      <c r="G701" s="20"/>
      <c r="H701" s="20"/>
      <c r="I701">
        <v>701</v>
      </c>
    </row>
    <row r="702" spans="1:9" ht="25.5" x14ac:dyDescent="0.2">
      <c r="A702" s="2" t="s">
        <v>111</v>
      </c>
      <c r="B702" s="2" t="s">
        <v>37</v>
      </c>
      <c r="C702" s="20">
        <v>42775.508784722224</v>
      </c>
      <c r="D702" s="2" t="s">
        <v>5</v>
      </c>
      <c r="E702" s="2" t="s">
        <v>39</v>
      </c>
      <c r="F702" s="20">
        <v>42775.51122685185</v>
      </c>
      <c r="G702" s="20"/>
      <c r="H702" s="20"/>
      <c r="I702">
        <v>702</v>
      </c>
    </row>
    <row r="703" spans="1:9" ht="63.75" x14ac:dyDescent="0.2">
      <c r="A703" s="2" t="s">
        <v>111</v>
      </c>
      <c r="B703" s="2" t="s">
        <v>37</v>
      </c>
      <c r="C703" s="20">
        <v>42775.508784722224</v>
      </c>
      <c r="D703" s="2" t="s">
        <v>6</v>
      </c>
      <c r="E703" s="2" t="s">
        <v>47</v>
      </c>
      <c r="F703" s="20">
        <v>42775.51122685185</v>
      </c>
      <c r="G703" s="20"/>
      <c r="H703" s="20"/>
      <c r="I703">
        <v>703</v>
      </c>
    </row>
    <row r="704" spans="1:9" ht="25.5" x14ac:dyDescent="0.2">
      <c r="A704" s="2" t="s">
        <v>111</v>
      </c>
      <c r="B704" s="2" t="s">
        <v>37</v>
      </c>
      <c r="C704" s="20">
        <v>42775.508784722224</v>
      </c>
      <c r="D704" s="2" t="s">
        <v>5</v>
      </c>
      <c r="E704" s="2" t="s">
        <v>69</v>
      </c>
      <c r="F704" s="20">
        <v>42775.520925925928</v>
      </c>
      <c r="G704" s="20"/>
      <c r="H704" s="20"/>
      <c r="I704">
        <v>704</v>
      </c>
    </row>
    <row r="705" spans="1:9" ht="63.75" x14ac:dyDescent="0.2">
      <c r="A705" s="2" t="s">
        <v>111</v>
      </c>
      <c r="B705" s="2" t="s">
        <v>37</v>
      </c>
      <c r="C705" s="20">
        <v>42775.508784722224</v>
      </c>
      <c r="D705" s="2" t="s">
        <v>6</v>
      </c>
      <c r="E705" s="2" t="s">
        <v>67</v>
      </c>
      <c r="F705" s="20">
        <v>42775.540046296293</v>
      </c>
      <c r="G705" s="20"/>
      <c r="H705" s="20"/>
      <c r="I705">
        <v>705</v>
      </c>
    </row>
    <row r="706" spans="1:9" ht="25.5" x14ac:dyDescent="0.2">
      <c r="A706" s="2" t="s">
        <v>110</v>
      </c>
      <c r="B706" s="2" t="s">
        <v>37</v>
      </c>
      <c r="C706" s="20">
        <v>42775.522638888891</v>
      </c>
      <c r="D706" s="2" t="s">
        <v>5</v>
      </c>
      <c r="E706" s="2" t="s">
        <v>40</v>
      </c>
      <c r="F706" s="20">
        <v>42775.522696759261</v>
      </c>
      <c r="G706" s="20"/>
      <c r="H706" s="20"/>
      <c r="I706">
        <v>706</v>
      </c>
    </row>
    <row r="707" spans="1:9" ht="25.5" x14ac:dyDescent="0.2">
      <c r="A707" s="2" t="s">
        <v>110</v>
      </c>
      <c r="B707" s="2" t="s">
        <v>37</v>
      </c>
      <c r="C707" s="20">
        <v>42775.522638888891</v>
      </c>
      <c r="D707" s="2" t="s">
        <v>5</v>
      </c>
      <c r="E707" s="2" t="s">
        <v>71</v>
      </c>
      <c r="F707" s="20">
        <v>42775.530046296299</v>
      </c>
      <c r="G707" s="20"/>
      <c r="H707" s="20"/>
      <c r="I707">
        <v>707</v>
      </c>
    </row>
    <row r="708" spans="1:9" ht="63.75" x14ac:dyDescent="0.2">
      <c r="A708" s="2" t="s">
        <v>110</v>
      </c>
      <c r="B708" s="2" t="s">
        <v>37</v>
      </c>
      <c r="C708" s="20">
        <v>42775.522638888891</v>
      </c>
      <c r="D708" s="2" t="s">
        <v>6</v>
      </c>
      <c r="E708" s="2" t="s">
        <v>102</v>
      </c>
      <c r="F708" s="20">
        <v>42776.681643518517</v>
      </c>
      <c r="G708" s="20"/>
      <c r="H708" s="20"/>
      <c r="I708">
        <v>708</v>
      </c>
    </row>
    <row r="709" spans="1:9" ht="25.5" x14ac:dyDescent="0.2">
      <c r="A709" s="2" t="s">
        <v>109</v>
      </c>
      <c r="B709" s="2" t="s">
        <v>37</v>
      </c>
      <c r="C709" s="20">
        <v>42775.554502314815</v>
      </c>
      <c r="D709" s="2" t="s">
        <v>5</v>
      </c>
      <c r="E709" s="2" t="s">
        <v>40</v>
      </c>
      <c r="F709" s="20">
        <v>42775.554571759261</v>
      </c>
      <c r="G709" s="20"/>
      <c r="H709" s="20"/>
      <c r="I709">
        <v>709</v>
      </c>
    </row>
    <row r="710" spans="1:9" ht="25.5" x14ac:dyDescent="0.2">
      <c r="A710" s="2" t="s">
        <v>109</v>
      </c>
      <c r="B710" s="2" t="s">
        <v>37</v>
      </c>
      <c r="C710" s="20">
        <v>42775.554502314815</v>
      </c>
      <c r="D710" s="2" t="s">
        <v>5</v>
      </c>
      <c r="E710" s="2" t="s">
        <v>69</v>
      </c>
      <c r="F710" s="20">
        <v>42775.568101851852</v>
      </c>
      <c r="G710" s="20"/>
      <c r="H710" s="20"/>
      <c r="I710">
        <v>710</v>
      </c>
    </row>
    <row r="711" spans="1:9" ht="63.75" x14ac:dyDescent="0.2">
      <c r="A711" s="2" t="s">
        <v>109</v>
      </c>
      <c r="B711" s="2" t="s">
        <v>37</v>
      </c>
      <c r="C711" s="20">
        <v>42775.554502314815</v>
      </c>
      <c r="D711" s="2" t="s">
        <v>6</v>
      </c>
      <c r="E711" s="2" t="s">
        <v>67</v>
      </c>
      <c r="F711" s="20">
        <v>42775.574895833335</v>
      </c>
      <c r="G711" s="20"/>
      <c r="H711" s="20"/>
      <c r="I711">
        <v>711</v>
      </c>
    </row>
    <row r="712" spans="1:9" ht="25.5" x14ac:dyDescent="0.2">
      <c r="A712" s="2" t="s">
        <v>108</v>
      </c>
      <c r="B712" s="2" t="s">
        <v>37</v>
      </c>
      <c r="C712" s="20">
        <v>42775.588923611111</v>
      </c>
      <c r="D712" s="2" t="s">
        <v>5</v>
      </c>
      <c r="E712" s="2" t="s">
        <v>40</v>
      </c>
      <c r="F712" s="20">
        <v>42775.588958333334</v>
      </c>
      <c r="G712" s="20"/>
      <c r="H712" s="20"/>
      <c r="I712">
        <v>712</v>
      </c>
    </row>
    <row r="713" spans="1:9" ht="25.5" x14ac:dyDescent="0.2">
      <c r="A713" s="2" t="s">
        <v>108</v>
      </c>
      <c r="B713" s="2" t="s">
        <v>37</v>
      </c>
      <c r="C713" s="20">
        <v>42775.588923611111</v>
      </c>
      <c r="D713" s="2" t="s">
        <v>5</v>
      </c>
      <c r="E713" s="2" t="s">
        <v>39</v>
      </c>
      <c r="F713" s="20">
        <v>42775.614641203705</v>
      </c>
      <c r="G713" s="20"/>
      <c r="H713" s="20"/>
      <c r="I713">
        <v>713</v>
      </c>
    </row>
    <row r="714" spans="1:9" ht="63.75" x14ac:dyDescent="0.2">
      <c r="A714" s="2" t="s">
        <v>108</v>
      </c>
      <c r="B714" s="2" t="s">
        <v>37</v>
      </c>
      <c r="C714" s="20">
        <v>42775.588923611111</v>
      </c>
      <c r="D714" s="2" t="s">
        <v>6</v>
      </c>
      <c r="E714" s="2" t="s">
        <v>43</v>
      </c>
      <c r="F714" s="20">
        <v>42775.614641203705</v>
      </c>
      <c r="G714" s="20"/>
      <c r="H714" s="20"/>
      <c r="I714">
        <v>714</v>
      </c>
    </row>
    <row r="715" spans="1:9" ht="25.5" x14ac:dyDescent="0.2">
      <c r="A715" s="2" t="s">
        <v>107</v>
      </c>
      <c r="B715" s="2" t="s">
        <v>37</v>
      </c>
      <c r="C715" s="20">
        <v>42775.612395833334</v>
      </c>
      <c r="D715" s="2" t="s">
        <v>5</v>
      </c>
      <c r="E715" s="2" t="s">
        <v>40</v>
      </c>
      <c r="F715" s="20">
        <v>42775.612488425926</v>
      </c>
      <c r="G715" s="20"/>
      <c r="H715" s="20"/>
      <c r="I715">
        <v>715</v>
      </c>
    </row>
    <row r="716" spans="1:9" ht="25.5" x14ac:dyDescent="0.2">
      <c r="A716" s="2" t="s">
        <v>107</v>
      </c>
      <c r="B716" s="2" t="s">
        <v>37</v>
      </c>
      <c r="C716" s="20">
        <v>42775.612395833334</v>
      </c>
      <c r="D716" s="2" t="s">
        <v>5</v>
      </c>
      <c r="E716" s="2" t="s">
        <v>69</v>
      </c>
      <c r="F716" s="20">
        <v>42775.636701388888</v>
      </c>
      <c r="G716" s="20"/>
      <c r="H716" s="20"/>
      <c r="I716">
        <v>716</v>
      </c>
    </row>
    <row r="717" spans="1:9" ht="51" x14ac:dyDescent="0.2">
      <c r="A717" s="2" t="s">
        <v>107</v>
      </c>
      <c r="B717" s="2" t="s">
        <v>37</v>
      </c>
      <c r="C717" s="20">
        <v>42775.612395833334</v>
      </c>
      <c r="D717" s="2" t="s">
        <v>6</v>
      </c>
      <c r="E717" s="2" t="s">
        <v>105</v>
      </c>
      <c r="F717" s="20">
        <v>42775.644988425927</v>
      </c>
      <c r="G717" s="20"/>
      <c r="H717" s="20"/>
      <c r="I717">
        <v>717</v>
      </c>
    </row>
    <row r="718" spans="1:9" ht="25.5" x14ac:dyDescent="0.2">
      <c r="A718" s="2" t="s">
        <v>106</v>
      </c>
      <c r="B718" s="2" t="s">
        <v>37</v>
      </c>
      <c r="C718" s="20">
        <v>42775.634050925924</v>
      </c>
      <c r="D718" s="2" t="s">
        <v>5</v>
      </c>
      <c r="E718" s="2" t="s">
        <v>40</v>
      </c>
      <c r="F718" s="20">
        <v>42775.634074074071</v>
      </c>
      <c r="G718" s="20"/>
      <c r="H718" s="20"/>
      <c r="I718">
        <v>718</v>
      </c>
    </row>
    <row r="719" spans="1:9" ht="25.5" x14ac:dyDescent="0.2">
      <c r="A719" s="2" t="s">
        <v>106</v>
      </c>
      <c r="B719" s="2" t="s">
        <v>37</v>
      </c>
      <c r="C719" s="20">
        <v>42775.634050925924</v>
      </c>
      <c r="D719" s="2" t="s">
        <v>5</v>
      </c>
      <c r="E719" s="2" t="s">
        <v>39</v>
      </c>
      <c r="F719" s="20">
        <v>42775.640277777777</v>
      </c>
      <c r="G719" s="20"/>
      <c r="H719" s="20"/>
      <c r="I719">
        <v>719</v>
      </c>
    </row>
    <row r="720" spans="1:9" ht="63.75" x14ac:dyDescent="0.2">
      <c r="A720" s="2" t="s">
        <v>106</v>
      </c>
      <c r="B720" s="2" t="s">
        <v>37</v>
      </c>
      <c r="C720" s="20">
        <v>42775.634050925924</v>
      </c>
      <c r="D720" s="2" t="s">
        <v>6</v>
      </c>
      <c r="E720" s="2" t="s">
        <v>60</v>
      </c>
      <c r="F720" s="20">
        <v>42775.640277777777</v>
      </c>
      <c r="G720" s="20"/>
      <c r="H720" s="20"/>
      <c r="I720">
        <v>720</v>
      </c>
    </row>
    <row r="721" spans="1:9" ht="25.5" x14ac:dyDescent="0.2">
      <c r="A721" s="2" t="s">
        <v>106</v>
      </c>
      <c r="B721" s="2" t="s">
        <v>37</v>
      </c>
      <c r="C721" s="20">
        <v>42775.634050925924</v>
      </c>
      <c r="D721" s="2" t="s">
        <v>5</v>
      </c>
      <c r="E721" s="2" t="s">
        <v>69</v>
      </c>
      <c r="F721" s="20">
        <v>42775.642893518518</v>
      </c>
      <c r="G721" s="20"/>
      <c r="H721" s="20"/>
      <c r="I721">
        <v>721</v>
      </c>
    </row>
    <row r="722" spans="1:9" ht="51" x14ac:dyDescent="0.2">
      <c r="A722" s="2" t="s">
        <v>106</v>
      </c>
      <c r="B722" s="2" t="s">
        <v>37</v>
      </c>
      <c r="C722" s="20">
        <v>42775.634050925924</v>
      </c>
      <c r="D722" s="2" t="s">
        <v>6</v>
      </c>
      <c r="E722" s="2" t="s">
        <v>105</v>
      </c>
      <c r="F722" s="20">
        <v>42775.645104166666</v>
      </c>
      <c r="G722" s="20"/>
      <c r="H722" s="20"/>
      <c r="I722">
        <v>722</v>
      </c>
    </row>
    <row r="723" spans="1:9" ht="25.5" x14ac:dyDescent="0.2">
      <c r="A723" s="2" t="s">
        <v>104</v>
      </c>
      <c r="B723" s="2" t="s">
        <v>37</v>
      </c>
      <c r="C723" s="20">
        <v>42775.637384259258</v>
      </c>
      <c r="D723" s="2" t="s">
        <v>5</v>
      </c>
      <c r="E723" s="2" t="s">
        <v>40</v>
      </c>
      <c r="F723" s="20">
        <v>42775.637407407405</v>
      </c>
      <c r="G723" s="20"/>
      <c r="H723" s="20"/>
      <c r="I723">
        <v>723</v>
      </c>
    </row>
    <row r="724" spans="1:9" ht="25.5" x14ac:dyDescent="0.2">
      <c r="A724" s="2" t="s">
        <v>104</v>
      </c>
      <c r="B724" s="2" t="s">
        <v>37</v>
      </c>
      <c r="C724" s="20">
        <v>42775.637384259258</v>
      </c>
      <c r="D724" s="2" t="s">
        <v>5</v>
      </c>
      <c r="E724" s="2" t="s">
        <v>87</v>
      </c>
      <c r="F724" s="20">
        <v>42775.637835648151</v>
      </c>
      <c r="G724" s="20"/>
      <c r="H724" s="20"/>
      <c r="I724">
        <v>724</v>
      </c>
    </row>
    <row r="725" spans="1:9" ht="25.5" x14ac:dyDescent="0.2">
      <c r="A725" s="2" t="s">
        <v>104</v>
      </c>
      <c r="B725" s="2" t="s">
        <v>37</v>
      </c>
      <c r="C725" s="20">
        <v>42775.637384259258</v>
      </c>
      <c r="D725" s="2" t="s">
        <v>5</v>
      </c>
      <c r="E725" s="2" t="s">
        <v>39</v>
      </c>
      <c r="F725" s="20">
        <v>42775.657384259262</v>
      </c>
      <c r="G725" s="20"/>
      <c r="H725" s="20"/>
      <c r="I725">
        <v>725</v>
      </c>
    </row>
    <row r="726" spans="1:9" ht="51" x14ac:dyDescent="0.2">
      <c r="A726" s="2" t="s">
        <v>104</v>
      </c>
      <c r="B726" s="2" t="s">
        <v>37</v>
      </c>
      <c r="C726" s="20">
        <v>42775.637384259258</v>
      </c>
      <c r="D726" s="2" t="s">
        <v>6</v>
      </c>
      <c r="E726" s="2" t="s">
        <v>77</v>
      </c>
      <c r="F726" s="20">
        <v>42775.657384259262</v>
      </c>
      <c r="G726" s="20"/>
      <c r="H726" s="20"/>
      <c r="I726">
        <v>726</v>
      </c>
    </row>
    <row r="727" spans="1:9" ht="63.75" x14ac:dyDescent="0.2">
      <c r="A727" s="2" t="s">
        <v>104</v>
      </c>
      <c r="B727" s="2" t="s">
        <v>37</v>
      </c>
      <c r="C727" s="20">
        <v>42775.637384259258</v>
      </c>
      <c r="D727" s="2" t="s">
        <v>6</v>
      </c>
      <c r="E727" s="2" t="s">
        <v>96</v>
      </c>
      <c r="F727" s="20">
        <v>42775.657986111109</v>
      </c>
      <c r="G727" s="20"/>
      <c r="H727" s="20"/>
      <c r="I727">
        <v>727</v>
      </c>
    </row>
    <row r="728" spans="1:9" ht="25.5" x14ac:dyDescent="0.2">
      <c r="A728" s="2" t="s">
        <v>103</v>
      </c>
      <c r="B728" s="2" t="s">
        <v>37</v>
      </c>
      <c r="C728" s="20">
        <v>42775.643252314818</v>
      </c>
      <c r="D728" s="2" t="s">
        <v>5</v>
      </c>
      <c r="E728" s="2" t="s">
        <v>40</v>
      </c>
      <c r="F728" s="20">
        <v>42775.643368055556</v>
      </c>
      <c r="G728" s="20"/>
      <c r="H728" s="20"/>
      <c r="I728">
        <v>728</v>
      </c>
    </row>
    <row r="729" spans="1:9" ht="25.5" x14ac:dyDescent="0.2">
      <c r="A729" s="2" t="s">
        <v>103</v>
      </c>
      <c r="B729" s="2" t="s">
        <v>37</v>
      </c>
      <c r="C729" s="20">
        <v>42775.643252314818</v>
      </c>
      <c r="D729" s="2" t="s">
        <v>5</v>
      </c>
      <c r="E729" s="2" t="s">
        <v>71</v>
      </c>
      <c r="F729" s="20">
        <v>42775.644872685189</v>
      </c>
      <c r="G729" s="20"/>
      <c r="H729" s="20"/>
      <c r="I729">
        <v>729</v>
      </c>
    </row>
    <row r="730" spans="1:9" ht="63.75" x14ac:dyDescent="0.2">
      <c r="A730" s="2" t="s">
        <v>103</v>
      </c>
      <c r="B730" s="2" t="s">
        <v>37</v>
      </c>
      <c r="C730" s="20">
        <v>42775.643252314818</v>
      </c>
      <c r="D730" s="2" t="s">
        <v>6</v>
      </c>
      <c r="E730" s="2" t="s">
        <v>102</v>
      </c>
      <c r="F730" s="20">
        <v>42776.68509259259</v>
      </c>
      <c r="G730" s="20"/>
      <c r="H730" s="20"/>
      <c r="I730">
        <v>730</v>
      </c>
    </row>
    <row r="731" spans="1:9" ht="25.5" x14ac:dyDescent="0.2">
      <c r="A731" s="2" t="s">
        <v>101</v>
      </c>
      <c r="B731" s="2" t="s">
        <v>37</v>
      </c>
      <c r="C731" s="20">
        <v>42775.647037037037</v>
      </c>
      <c r="D731" s="2" t="s">
        <v>5</v>
      </c>
      <c r="E731" s="2" t="s">
        <v>40</v>
      </c>
      <c r="F731" s="20">
        <v>42775.647106481483</v>
      </c>
      <c r="G731" s="20"/>
      <c r="H731" s="20"/>
      <c r="I731">
        <v>731</v>
      </c>
    </row>
    <row r="732" spans="1:9" ht="25.5" x14ac:dyDescent="0.2">
      <c r="A732" s="2" t="s">
        <v>101</v>
      </c>
      <c r="B732" s="2" t="s">
        <v>37</v>
      </c>
      <c r="C732" s="20">
        <v>42775.647037037037</v>
      </c>
      <c r="D732" s="2" t="s">
        <v>5</v>
      </c>
      <c r="E732" s="2" t="s">
        <v>39</v>
      </c>
      <c r="F732" s="20">
        <v>42775.647453703707</v>
      </c>
      <c r="G732" s="20"/>
      <c r="H732" s="20"/>
      <c r="I732">
        <v>732</v>
      </c>
    </row>
    <row r="733" spans="1:9" ht="63.75" x14ac:dyDescent="0.2">
      <c r="A733" s="2" t="s">
        <v>101</v>
      </c>
      <c r="B733" s="2" t="s">
        <v>37</v>
      </c>
      <c r="C733" s="20">
        <v>42775.647037037037</v>
      </c>
      <c r="D733" s="2" t="s">
        <v>6</v>
      </c>
      <c r="E733" s="2" t="s">
        <v>41</v>
      </c>
      <c r="F733" s="20">
        <v>42775.697280092594</v>
      </c>
      <c r="G733" s="20"/>
      <c r="H733" s="20"/>
      <c r="I733">
        <v>733</v>
      </c>
    </row>
    <row r="734" spans="1:9" ht="25.5" x14ac:dyDescent="0.2">
      <c r="A734" s="2" t="s">
        <v>100</v>
      </c>
      <c r="B734" s="2" t="s">
        <v>37</v>
      </c>
      <c r="C734" s="20">
        <v>42775.656006944446</v>
      </c>
      <c r="D734" s="2" t="s">
        <v>5</v>
      </c>
      <c r="E734" s="2" t="s">
        <v>40</v>
      </c>
      <c r="F734" s="20">
        <v>42775.656053240738</v>
      </c>
      <c r="G734" s="20"/>
      <c r="H734" s="20"/>
      <c r="I734">
        <v>734</v>
      </c>
    </row>
    <row r="735" spans="1:9" ht="25.5" x14ac:dyDescent="0.2">
      <c r="A735" s="2" t="s">
        <v>100</v>
      </c>
      <c r="B735" s="2" t="s">
        <v>37</v>
      </c>
      <c r="C735" s="20">
        <v>42775.656006944446</v>
      </c>
      <c r="D735" s="2" t="s">
        <v>5</v>
      </c>
      <c r="E735" s="2" t="s">
        <v>39</v>
      </c>
      <c r="F735" s="20">
        <v>42775.68854166667</v>
      </c>
      <c r="G735" s="20"/>
      <c r="H735" s="20"/>
      <c r="I735">
        <v>735</v>
      </c>
    </row>
    <row r="736" spans="1:9" ht="63.75" x14ac:dyDescent="0.2">
      <c r="A736" s="2" t="s">
        <v>100</v>
      </c>
      <c r="B736" s="2" t="s">
        <v>37</v>
      </c>
      <c r="C736" s="20">
        <v>42775.656006944446</v>
      </c>
      <c r="D736" s="2" t="s">
        <v>6</v>
      </c>
      <c r="E736" s="2" t="s">
        <v>41</v>
      </c>
      <c r="F736" s="20">
        <v>42775.693993055553</v>
      </c>
      <c r="G736" s="20"/>
      <c r="H736" s="20"/>
      <c r="I736">
        <v>736</v>
      </c>
    </row>
    <row r="737" spans="1:9" ht="25.5" x14ac:dyDescent="0.2">
      <c r="A737" s="2" t="s">
        <v>100</v>
      </c>
      <c r="B737" s="2" t="s">
        <v>37</v>
      </c>
      <c r="C737" s="20">
        <v>42775.656006944446</v>
      </c>
      <c r="D737" s="2" t="s">
        <v>5</v>
      </c>
      <c r="E737" s="2" t="s">
        <v>69</v>
      </c>
      <c r="F737" s="20">
        <v>42775.710231481484</v>
      </c>
      <c r="G737" s="20"/>
      <c r="H737" s="20"/>
      <c r="I737">
        <v>737</v>
      </c>
    </row>
    <row r="738" spans="1:9" ht="63.75" x14ac:dyDescent="0.2">
      <c r="A738" s="2" t="s">
        <v>100</v>
      </c>
      <c r="B738" s="2" t="s">
        <v>37</v>
      </c>
      <c r="C738" s="20">
        <v>42775.656006944446</v>
      </c>
      <c r="D738" s="2" t="s">
        <v>6</v>
      </c>
      <c r="E738" s="2" t="s">
        <v>85</v>
      </c>
      <c r="F738" s="20">
        <v>42775.786122685182</v>
      </c>
      <c r="G738" s="20"/>
      <c r="H738" s="20"/>
      <c r="I738">
        <v>738</v>
      </c>
    </row>
    <row r="739" spans="1:9" ht="25.5" x14ac:dyDescent="0.2">
      <c r="A739" s="2" t="s">
        <v>99</v>
      </c>
      <c r="B739" s="2" t="s">
        <v>37</v>
      </c>
      <c r="C739" s="20">
        <v>42775.663865740738</v>
      </c>
      <c r="D739" s="2" t="s">
        <v>5</v>
      </c>
      <c r="E739" s="2" t="s">
        <v>40</v>
      </c>
      <c r="F739" s="20">
        <v>42775.663981481484</v>
      </c>
      <c r="G739" s="20"/>
      <c r="H739" s="20"/>
      <c r="I739">
        <v>739</v>
      </c>
    </row>
    <row r="740" spans="1:9" ht="25.5" x14ac:dyDescent="0.2">
      <c r="A740" s="2" t="s">
        <v>99</v>
      </c>
      <c r="B740" s="2" t="s">
        <v>37</v>
      </c>
      <c r="C740" s="20">
        <v>42775.663865740738</v>
      </c>
      <c r="D740" s="2" t="s">
        <v>5</v>
      </c>
      <c r="E740" s="2" t="s">
        <v>39</v>
      </c>
      <c r="F740" s="20">
        <v>42775.66479166667</v>
      </c>
      <c r="G740" s="20"/>
      <c r="H740" s="20"/>
      <c r="I740">
        <v>740</v>
      </c>
    </row>
    <row r="741" spans="1:9" ht="25.5" x14ac:dyDescent="0.2">
      <c r="A741" s="2" t="s">
        <v>99</v>
      </c>
      <c r="B741" s="2" t="s">
        <v>37</v>
      </c>
      <c r="C741" s="20">
        <v>42775.663865740738</v>
      </c>
      <c r="D741" s="2" t="s">
        <v>5</v>
      </c>
      <c r="E741" s="2" t="s">
        <v>65</v>
      </c>
      <c r="F741" s="20">
        <v>42775.676006944443</v>
      </c>
      <c r="G741" s="20"/>
      <c r="H741" s="20"/>
      <c r="I741">
        <v>741</v>
      </c>
    </row>
    <row r="742" spans="1:9" ht="63.75" x14ac:dyDescent="0.2">
      <c r="A742" s="2" t="s">
        <v>99</v>
      </c>
      <c r="B742" s="2" t="s">
        <v>37</v>
      </c>
      <c r="C742" s="20">
        <v>42775.663865740738</v>
      </c>
      <c r="D742" s="2" t="s">
        <v>6</v>
      </c>
      <c r="E742" s="2" t="s">
        <v>73</v>
      </c>
      <c r="F742" s="20">
        <v>42776.363611111112</v>
      </c>
      <c r="G742" s="20"/>
      <c r="H742" s="20"/>
      <c r="I742">
        <v>742</v>
      </c>
    </row>
    <row r="743" spans="1:9" ht="25.5" x14ac:dyDescent="0.2">
      <c r="A743" s="2" t="s">
        <v>98</v>
      </c>
      <c r="B743" s="2" t="s">
        <v>37</v>
      </c>
      <c r="C743" s="20">
        <v>42775.669583333336</v>
      </c>
      <c r="D743" s="2" t="s">
        <v>5</v>
      </c>
      <c r="E743" s="2" t="s">
        <v>40</v>
      </c>
      <c r="F743" s="20">
        <v>42775.669664351852</v>
      </c>
      <c r="G743" s="20"/>
      <c r="H743" s="20"/>
      <c r="I743">
        <v>743</v>
      </c>
    </row>
    <row r="744" spans="1:9" ht="25.5" x14ac:dyDescent="0.2">
      <c r="A744" s="2" t="s">
        <v>98</v>
      </c>
      <c r="B744" s="2" t="s">
        <v>37</v>
      </c>
      <c r="C744" s="20">
        <v>42775.669583333336</v>
      </c>
      <c r="D744" s="2" t="s">
        <v>5</v>
      </c>
      <c r="E744" s="2" t="s">
        <v>39</v>
      </c>
      <c r="F744" s="20">
        <v>42775.670092592591</v>
      </c>
      <c r="G744" s="20"/>
      <c r="H744" s="20"/>
      <c r="I744">
        <v>744</v>
      </c>
    </row>
    <row r="745" spans="1:9" ht="63.75" x14ac:dyDescent="0.2">
      <c r="A745" s="2" t="s">
        <v>98</v>
      </c>
      <c r="B745" s="2" t="s">
        <v>37</v>
      </c>
      <c r="C745" s="20">
        <v>42775.669583333336</v>
      </c>
      <c r="D745" s="2" t="s">
        <v>6</v>
      </c>
      <c r="E745" s="2" t="s">
        <v>41</v>
      </c>
      <c r="F745" s="20">
        <v>42775.677106481482</v>
      </c>
      <c r="G745" s="20"/>
      <c r="H745" s="20"/>
      <c r="I745">
        <v>745</v>
      </c>
    </row>
    <row r="746" spans="1:9" ht="25.5" x14ac:dyDescent="0.2">
      <c r="A746" s="2" t="s">
        <v>98</v>
      </c>
      <c r="B746" s="2" t="s">
        <v>37</v>
      </c>
      <c r="C746" s="20">
        <v>42775.669583333336</v>
      </c>
      <c r="D746" s="2" t="s">
        <v>5</v>
      </c>
      <c r="E746" s="2" t="s">
        <v>69</v>
      </c>
      <c r="F746" s="20">
        <v>42776.609953703701</v>
      </c>
      <c r="G746" s="20"/>
      <c r="H746" s="20"/>
      <c r="I746">
        <v>746</v>
      </c>
    </row>
    <row r="747" spans="1:9" ht="63.75" x14ac:dyDescent="0.2">
      <c r="A747" s="2" t="s">
        <v>98</v>
      </c>
      <c r="B747" s="2" t="s">
        <v>37</v>
      </c>
      <c r="C747" s="20">
        <v>42775.669583333336</v>
      </c>
      <c r="D747" s="2" t="s">
        <v>6</v>
      </c>
      <c r="E747" s="2" t="s">
        <v>67</v>
      </c>
      <c r="F747" s="20">
        <v>42776.654907407406</v>
      </c>
      <c r="G747" s="20"/>
      <c r="H747" s="20"/>
      <c r="I747">
        <v>747</v>
      </c>
    </row>
    <row r="748" spans="1:9" ht="25.5" x14ac:dyDescent="0.2">
      <c r="A748" s="2" t="s">
        <v>97</v>
      </c>
      <c r="B748" s="2" t="s">
        <v>37</v>
      </c>
      <c r="C748" s="20">
        <v>42775.698599537034</v>
      </c>
      <c r="D748" s="2" t="s">
        <v>5</v>
      </c>
      <c r="E748" s="2" t="s">
        <v>40</v>
      </c>
      <c r="F748" s="20">
        <v>42775.698611111111</v>
      </c>
      <c r="G748" s="20"/>
      <c r="H748" s="20"/>
      <c r="I748">
        <v>748</v>
      </c>
    </row>
    <row r="749" spans="1:9" ht="25.5" x14ac:dyDescent="0.2">
      <c r="A749" s="2" t="s">
        <v>97</v>
      </c>
      <c r="B749" s="2" t="s">
        <v>37</v>
      </c>
      <c r="C749" s="20">
        <v>42775.698599537034</v>
      </c>
      <c r="D749" s="2" t="s">
        <v>5</v>
      </c>
      <c r="E749" s="2" t="s">
        <v>39</v>
      </c>
      <c r="F749" s="20">
        <v>42775.69902777778</v>
      </c>
      <c r="G749" s="20"/>
      <c r="H749" s="20"/>
      <c r="I749">
        <v>749</v>
      </c>
    </row>
    <row r="750" spans="1:9" ht="63.75" x14ac:dyDescent="0.2">
      <c r="A750" s="2" t="s">
        <v>97</v>
      </c>
      <c r="B750" s="2" t="s">
        <v>37</v>
      </c>
      <c r="C750" s="20">
        <v>42775.698599537034</v>
      </c>
      <c r="D750" s="2" t="s">
        <v>6</v>
      </c>
      <c r="E750" s="2" t="s">
        <v>96</v>
      </c>
      <c r="F750" s="20">
        <v>42775.731666666667</v>
      </c>
      <c r="G750" s="20"/>
      <c r="H750" s="20"/>
      <c r="I750">
        <v>750</v>
      </c>
    </row>
    <row r="751" spans="1:9" ht="25.5" x14ac:dyDescent="0.2">
      <c r="A751" s="2" t="s">
        <v>95</v>
      </c>
      <c r="B751" s="2" t="s">
        <v>37</v>
      </c>
      <c r="C751" s="20">
        <v>42775.74832175926</v>
      </c>
      <c r="D751" s="2" t="s">
        <v>5</v>
      </c>
      <c r="E751" s="2" t="s">
        <v>40</v>
      </c>
      <c r="F751" s="20">
        <v>42775.748344907406</v>
      </c>
      <c r="G751" s="20"/>
      <c r="H751" s="20"/>
      <c r="I751">
        <v>751</v>
      </c>
    </row>
    <row r="752" spans="1:9" ht="25.5" x14ac:dyDescent="0.2">
      <c r="A752" s="2" t="s">
        <v>95</v>
      </c>
      <c r="B752" s="2" t="s">
        <v>37</v>
      </c>
      <c r="C752" s="20">
        <v>42775.74832175926</v>
      </c>
      <c r="D752" s="2" t="s">
        <v>5</v>
      </c>
      <c r="E752" s="2" t="s">
        <v>39</v>
      </c>
      <c r="F752" s="20">
        <v>42775.749548611115</v>
      </c>
      <c r="G752" s="20"/>
      <c r="H752" s="20"/>
      <c r="I752">
        <v>752</v>
      </c>
    </row>
    <row r="753" spans="1:9" ht="63.75" x14ac:dyDescent="0.2">
      <c r="A753" s="2" t="s">
        <v>95</v>
      </c>
      <c r="B753" s="2" t="s">
        <v>37</v>
      </c>
      <c r="C753" s="20">
        <v>42775.74832175926</v>
      </c>
      <c r="D753" s="2" t="s">
        <v>6</v>
      </c>
      <c r="E753" s="2" t="s">
        <v>96</v>
      </c>
      <c r="F753" s="20">
        <v>42775.761574074073</v>
      </c>
      <c r="G753" s="20"/>
      <c r="H753" s="20"/>
      <c r="I753">
        <v>753</v>
      </c>
    </row>
    <row r="754" spans="1:9" ht="25.5" x14ac:dyDescent="0.2">
      <c r="A754" s="2" t="s">
        <v>95</v>
      </c>
      <c r="B754" s="2" t="s">
        <v>37</v>
      </c>
      <c r="C754" s="20">
        <v>42775.74832175926</v>
      </c>
      <c r="D754" s="2" t="s">
        <v>5</v>
      </c>
      <c r="E754" s="2" t="s">
        <v>69</v>
      </c>
      <c r="F754" s="20">
        <v>42775.762789351851</v>
      </c>
      <c r="G754" s="20"/>
      <c r="H754" s="20"/>
      <c r="I754">
        <v>754</v>
      </c>
    </row>
    <row r="755" spans="1:9" ht="63.75" x14ac:dyDescent="0.2">
      <c r="A755" s="2" t="s">
        <v>95</v>
      </c>
      <c r="B755" s="2" t="s">
        <v>37</v>
      </c>
      <c r="C755" s="20">
        <v>42775.74832175926</v>
      </c>
      <c r="D755" s="2" t="s">
        <v>6</v>
      </c>
      <c r="E755" s="2" t="s">
        <v>67</v>
      </c>
      <c r="F755" s="20">
        <v>42775.786585648151</v>
      </c>
      <c r="G755" s="20"/>
      <c r="H755" s="20"/>
      <c r="I755">
        <v>755</v>
      </c>
    </row>
    <row r="756" spans="1:9" ht="25.5" x14ac:dyDescent="0.2">
      <c r="A756" s="2" t="s">
        <v>94</v>
      </c>
      <c r="B756" s="2" t="s">
        <v>37</v>
      </c>
      <c r="C756" s="20">
        <v>42775.771655092591</v>
      </c>
      <c r="D756" s="2" t="s">
        <v>5</v>
      </c>
      <c r="E756" s="2" t="s">
        <v>40</v>
      </c>
      <c r="F756" s="20">
        <v>42775.77171296296</v>
      </c>
      <c r="G756" s="20"/>
      <c r="H756" s="20"/>
      <c r="I756">
        <v>756</v>
      </c>
    </row>
    <row r="757" spans="1:9" ht="25.5" x14ac:dyDescent="0.2">
      <c r="A757" s="2" t="s">
        <v>94</v>
      </c>
      <c r="B757" s="2" t="s">
        <v>37</v>
      </c>
      <c r="C757" s="20">
        <v>42775.771655092591</v>
      </c>
      <c r="D757" s="2" t="s">
        <v>5</v>
      </c>
      <c r="E757" s="2" t="s">
        <v>39</v>
      </c>
      <c r="F757" s="20">
        <v>42775.775462962964</v>
      </c>
      <c r="G757" s="20"/>
      <c r="H757" s="20"/>
      <c r="I757">
        <v>757</v>
      </c>
    </row>
    <row r="758" spans="1:9" ht="63.75" x14ac:dyDescent="0.2">
      <c r="A758" s="2" t="s">
        <v>94</v>
      </c>
      <c r="B758" s="2" t="s">
        <v>37</v>
      </c>
      <c r="C758" s="20">
        <v>42775.771655092591</v>
      </c>
      <c r="D758" s="2" t="s">
        <v>6</v>
      </c>
      <c r="E758" s="2" t="s">
        <v>41</v>
      </c>
      <c r="F758" s="20">
        <v>42775.775462962964</v>
      </c>
      <c r="G758" s="20"/>
      <c r="H758" s="20"/>
      <c r="I758">
        <v>758</v>
      </c>
    </row>
    <row r="759" spans="1:9" ht="25.5" x14ac:dyDescent="0.2">
      <c r="A759" s="2" t="s">
        <v>94</v>
      </c>
      <c r="B759" s="2" t="s">
        <v>37</v>
      </c>
      <c r="C759" s="20">
        <v>42775.771655092591</v>
      </c>
      <c r="D759" s="2" t="s">
        <v>5</v>
      </c>
      <c r="E759" s="2" t="s">
        <v>69</v>
      </c>
      <c r="F759" s="20">
        <v>42775.780624999999</v>
      </c>
      <c r="G759" s="20"/>
      <c r="H759" s="20"/>
      <c r="I759">
        <v>759</v>
      </c>
    </row>
    <row r="760" spans="1:9" ht="63.75" x14ac:dyDescent="0.2">
      <c r="A760" s="2" t="s">
        <v>94</v>
      </c>
      <c r="B760" s="2" t="s">
        <v>37</v>
      </c>
      <c r="C760" s="20">
        <v>42775.771655092591</v>
      </c>
      <c r="D760" s="2" t="s">
        <v>6</v>
      </c>
      <c r="E760" s="2" t="s">
        <v>85</v>
      </c>
      <c r="F760" s="20">
        <v>42775.787048611113</v>
      </c>
      <c r="G760" s="20"/>
      <c r="H760" s="20"/>
      <c r="I760">
        <v>760</v>
      </c>
    </row>
    <row r="761" spans="1:9" ht="25.5" x14ac:dyDescent="0.2">
      <c r="A761" s="2" t="s">
        <v>93</v>
      </c>
      <c r="B761" s="2" t="s">
        <v>37</v>
      </c>
      <c r="C761" s="20">
        <v>42776.314016203702</v>
      </c>
      <c r="D761" s="2" t="s">
        <v>5</v>
      </c>
      <c r="E761" s="2" t="s">
        <v>40</v>
      </c>
      <c r="F761" s="20">
        <v>42776.314074074071</v>
      </c>
      <c r="G761" s="20"/>
      <c r="H761" s="20"/>
      <c r="I761">
        <v>761</v>
      </c>
    </row>
    <row r="762" spans="1:9" ht="25.5" x14ac:dyDescent="0.2">
      <c r="A762" s="2" t="s">
        <v>93</v>
      </c>
      <c r="B762" s="2" t="s">
        <v>37</v>
      </c>
      <c r="C762" s="20">
        <v>42776.314016203702</v>
      </c>
      <c r="D762" s="2" t="s">
        <v>5</v>
      </c>
      <c r="E762" s="2" t="s">
        <v>39</v>
      </c>
      <c r="F762" s="20">
        <v>42776.314421296294</v>
      </c>
      <c r="G762" s="20"/>
      <c r="H762" s="20"/>
      <c r="I762">
        <v>762</v>
      </c>
    </row>
    <row r="763" spans="1:9" ht="63.75" x14ac:dyDescent="0.2">
      <c r="A763" s="2" t="s">
        <v>93</v>
      </c>
      <c r="B763" s="2" t="s">
        <v>37</v>
      </c>
      <c r="C763" s="20">
        <v>42776.314016203702</v>
      </c>
      <c r="D763" s="2" t="s">
        <v>6</v>
      </c>
      <c r="E763" s="2" t="s">
        <v>60</v>
      </c>
      <c r="F763" s="20">
        <v>42776.357430555552</v>
      </c>
      <c r="G763" s="20"/>
      <c r="H763" s="20"/>
      <c r="I763">
        <v>763</v>
      </c>
    </row>
    <row r="764" spans="1:9" ht="25.5" x14ac:dyDescent="0.2">
      <c r="A764" s="2" t="s">
        <v>92</v>
      </c>
      <c r="B764" s="2" t="s">
        <v>37</v>
      </c>
      <c r="C764" s="20">
        <v>42776.36791666667</v>
      </c>
      <c r="D764" s="2" t="s">
        <v>5</v>
      </c>
      <c r="E764" s="2" t="s">
        <v>40</v>
      </c>
      <c r="F764" s="20">
        <v>42776.367939814816</v>
      </c>
      <c r="G764" s="20"/>
      <c r="H764" s="20"/>
      <c r="I764">
        <v>764</v>
      </c>
    </row>
    <row r="765" spans="1:9" ht="25.5" x14ac:dyDescent="0.2">
      <c r="A765" s="2" t="s">
        <v>92</v>
      </c>
      <c r="B765" s="2" t="s">
        <v>37</v>
      </c>
      <c r="C765" s="20">
        <v>42776.36791666667</v>
      </c>
      <c r="D765" s="2" t="s">
        <v>5</v>
      </c>
      <c r="E765" s="2" t="s">
        <v>39</v>
      </c>
      <c r="F765" s="20">
        <v>42776.36859953704</v>
      </c>
      <c r="G765" s="20"/>
      <c r="H765" s="20"/>
      <c r="I765">
        <v>765</v>
      </c>
    </row>
    <row r="766" spans="1:9" ht="63.75" x14ac:dyDescent="0.2">
      <c r="A766" s="2" t="s">
        <v>92</v>
      </c>
      <c r="B766" s="2" t="s">
        <v>37</v>
      </c>
      <c r="C766" s="20">
        <v>42776.36791666667</v>
      </c>
      <c r="D766" s="2" t="s">
        <v>6</v>
      </c>
      <c r="E766" s="2" t="s">
        <v>60</v>
      </c>
      <c r="F766" s="20">
        <v>42776.369675925926</v>
      </c>
      <c r="G766" s="20"/>
      <c r="H766" s="20"/>
      <c r="I766">
        <v>766</v>
      </c>
    </row>
    <row r="767" spans="1:9" ht="25.5" x14ac:dyDescent="0.2">
      <c r="A767" s="2" t="s">
        <v>91</v>
      </c>
      <c r="B767" s="2" t="s">
        <v>37</v>
      </c>
      <c r="C767" s="20">
        <v>42776.426099537035</v>
      </c>
      <c r="D767" s="2" t="s">
        <v>5</v>
      </c>
      <c r="E767" s="2" t="s">
        <v>39</v>
      </c>
      <c r="F767" s="20">
        <v>42776.441724537035</v>
      </c>
      <c r="G767" s="20"/>
      <c r="H767" s="20"/>
      <c r="I767">
        <v>767</v>
      </c>
    </row>
    <row r="768" spans="1:9" ht="25.5" x14ac:dyDescent="0.2">
      <c r="A768" s="2" t="s">
        <v>91</v>
      </c>
      <c r="B768" s="2" t="s">
        <v>37</v>
      </c>
      <c r="C768" s="20">
        <v>42776.426099537035</v>
      </c>
      <c r="D768" s="2" t="s">
        <v>5</v>
      </c>
      <c r="E768" s="2" t="s">
        <v>69</v>
      </c>
      <c r="F768" s="20">
        <v>42776.445104166669</v>
      </c>
      <c r="G768" s="20"/>
      <c r="H768" s="20"/>
      <c r="I768">
        <v>768</v>
      </c>
    </row>
    <row r="769" spans="1:9" ht="63.75" x14ac:dyDescent="0.2">
      <c r="A769" s="2" t="s">
        <v>91</v>
      </c>
      <c r="B769" s="2" t="s">
        <v>37</v>
      </c>
      <c r="C769" s="20">
        <v>42776.426099537035</v>
      </c>
      <c r="D769" s="2" t="s">
        <v>6</v>
      </c>
      <c r="E769" s="2" t="s">
        <v>67</v>
      </c>
      <c r="F769" s="20">
        <v>42776.449224537035</v>
      </c>
      <c r="G769" s="20"/>
      <c r="H769" s="20"/>
      <c r="I769">
        <v>769</v>
      </c>
    </row>
    <row r="770" spans="1:9" ht="25.5" x14ac:dyDescent="0.2">
      <c r="A770" s="2" t="s">
        <v>91</v>
      </c>
      <c r="B770" s="2" t="s">
        <v>37</v>
      </c>
      <c r="C770" s="20">
        <v>42776.426099537035</v>
      </c>
      <c r="D770" s="2" t="s">
        <v>5</v>
      </c>
      <c r="E770" s="2" t="s">
        <v>39</v>
      </c>
      <c r="F770" s="20">
        <v>42776.491203703707</v>
      </c>
      <c r="G770" s="20"/>
      <c r="H770" s="20"/>
      <c r="I770">
        <v>770</v>
      </c>
    </row>
    <row r="771" spans="1:9" ht="63.75" x14ac:dyDescent="0.2">
      <c r="A771" s="2" t="s">
        <v>91</v>
      </c>
      <c r="B771" s="2" t="s">
        <v>37</v>
      </c>
      <c r="C771" s="20">
        <v>42776.426099537035</v>
      </c>
      <c r="D771" s="2" t="s">
        <v>6</v>
      </c>
      <c r="E771" s="2" t="s">
        <v>41</v>
      </c>
      <c r="F771" s="20">
        <v>42776.550821759258</v>
      </c>
      <c r="G771" s="20"/>
      <c r="H771" s="20"/>
      <c r="I771">
        <v>771</v>
      </c>
    </row>
    <row r="772" spans="1:9" ht="25.5" x14ac:dyDescent="0.2">
      <c r="A772" s="2" t="s">
        <v>91</v>
      </c>
      <c r="B772" s="2" t="s">
        <v>37</v>
      </c>
      <c r="C772" s="20">
        <v>42776.426099537035</v>
      </c>
      <c r="D772" s="2" t="s">
        <v>5</v>
      </c>
      <c r="E772" s="2" t="s">
        <v>69</v>
      </c>
      <c r="F772" s="20">
        <v>42776.564479166664</v>
      </c>
      <c r="G772" s="20"/>
      <c r="H772" s="20"/>
      <c r="I772">
        <v>772</v>
      </c>
    </row>
    <row r="773" spans="1:9" ht="63.75" x14ac:dyDescent="0.2">
      <c r="A773" s="2" t="s">
        <v>91</v>
      </c>
      <c r="B773" s="2" t="s">
        <v>37</v>
      </c>
      <c r="C773" s="20">
        <v>42776.426099537035</v>
      </c>
      <c r="D773" s="2" t="s">
        <v>6</v>
      </c>
      <c r="E773" s="2" t="s">
        <v>67</v>
      </c>
      <c r="F773" s="20">
        <v>42776.622812499998</v>
      </c>
      <c r="G773" s="20"/>
      <c r="H773" s="20"/>
      <c r="I773">
        <v>773</v>
      </c>
    </row>
    <row r="774" spans="1:9" ht="25.5" x14ac:dyDescent="0.2">
      <c r="A774" s="2" t="s">
        <v>90</v>
      </c>
      <c r="B774" s="2" t="s">
        <v>37</v>
      </c>
      <c r="C774" s="20">
        <v>42776.439004629632</v>
      </c>
      <c r="D774" s="2" t="s">
        <v>5</v>
      </c>
      <c r="E774" s="2" t="s">
        <v>40</v>
      </c>
      <c r="F774" s="20">
        <v>42776.439074074071</v>
      </c>
      <c r="G774" s="20"/>
      <c r="H774" s="20"/>
      <c r="I774">
        <v>774</v>
      </c>
    </row>
    <row r="775" spans="1:9" ht="25.5" x14ac:dyDescent="0.2">
      <c r="A775" s="2" t="s">
        <v>90</v>
      </c>
      <c r="B775" s="2" t="s">
        <v>37</v>
      </c>
      <c r="C775" s="20">
        <v>42776.439004629632</v>
      </c>
      <c r="D775" s="2" t="s">
        <v>5</v>
      </c>
      <c r="E775" s="2" t="s">
        <v>39</v>
      </c>
      <c r="F775" s="20">
        <v>42776.43954861111</v>
      </c>
      <c r="G775" s="20"/>
      <c r="H775" s="20"/>
      <c r="I775">
        <v>775</v>
      </c>
    </row>
    <row r="776" spans="1:9" ht="25.5" x14ac:dyDescent="0.2">
      <c r="A776" s="2" t="s">
        <v>90</v>
      </c>
      <c r="B776" s="2" t="s">
        <v>37</v>
      </c>
      <c r="C776" s="20">
        <v>42776.439004629632</v>
      </c>
      <c r="D776" s="2" t="s">
        <v>5</v>
      </c>
      <c r="E776" s="2" t="s">
        <v>65</v>
      </c>
      <c r="F776" s="20">
        <v>42776.453344907408</v>
      </c>
      <c r="G776" s="20"/>
      <c r="H776" s="20"/>
      <c r="I776">
        <v>776</v>
      </c>
    </row>
    <row r="777" spans="1:9" ht="63.75" x14ac:dyDescent="0.2">
      <c r="A777" s="2" t="s">
        <v>90</v>
      </c>
      <c r="B777" s="2" t="s">
        <v>37</v>
      </c>
      <c r="C777" s="20">
        <v>42776.439004629632</v>
      </c>
      <c r="D777" s="2" t="s">
        <v>6</v>
      </c>
      <c r="E777" s="2" t="s">
        <v>73</v>
      </c>
      <c r="F777" s="20">
        <v>42776.453344907408</v>
      </c>
      <c r="G777" s="20"/>
      <c r="H777" s="20"/>
      <c r="I777">
        <v>777</v>
      </c>
    </row>
    <row r="778" spans="1:9" ht="25.5" x14ac:dyDescent="0.2">
      <c r="A778" s="2" t="s">
        <v>86</v>
      </c>
      <c r="B778" s="2" t="s">
        <v>37</v>
      </c>
      <c r="C778" s="20">
        <v>42776.44253472222</v>
      </c>
      <c r="D778" s="2" t="s">
        <v>5</v>
      </c>
      <c r="E778" s="2" t="s">
        <v>40</v>
      </c>
      <c r="F778" s="20">
        <v>42776.442546296297</v>
      </c>
      <c r="G778" s="20"/>
      <c r="H778" s="20"/>
      <c r="I778">
        <v>778</v>
      </c>
    </row>
    <row r="779" spans="1:9" ht="25.5" x14ac:dyDescent="0.2">
      <c r="A779" s="2" t="s">
        <v>86</v>
      </c>
      <c r="B779" s="2" t="s">
        <v>37</v>
      </c>
      <c r="C779" s="20">
        <v>42776.44253472222</v>
      </c>
      <c r="D779" s="2" t="s">
        <v>5</v>
      </c>
      <c r="E779" s="2" t="s">
        <v>89</v>
      </c>
      <c r="F779" s="20">
        <v>42776.443067129629</v>
      </c>
      <c r="G779" s="20"/>
      <c r="H779" s="20"/>
      <c r="I779">
        <v>779</v>
      </c>
    </row>
    <row r="780" spans="1:9" ht="63.75" x14ac:dyDescent="0.2">
      <c r="A780" s="2" t="s">
        <v>86</v>
      </c>
      <c r="B780" s="2" t="s">
        <v>37</v>
      </c>
      <c r="C780" s="20">
        <v>42776.44253472222</v>
      </c>
      <c r="D780" s="2" t="s">
        <v>6</v>
      </c>
      <c r="E780" s="2" t="s">
        <v>88</v>
      </c>
      <c r="F780" s="20">
        <v>42776.52416666667</v>
      </c>
      <c r="G780" s="20"/>
      <c r="H780" s="20"/>
      <c r="I780">
        <v>780</v>
      </c>
    </row>
    <row r="781" spans="1:9" ht="25.5" x14ac:dyDescent="0.2">
      <c r="A781" s="2" t="s">
        <v>86</v>
      </c>
      <c r="B781" s="2" t="s">
        <v>37</v>
      </c>
      <c r="C781" s="20">
        <v>42776.44253472222</v>
      </c>
      <c r="D781" s="2" t="s">
        <v>5</v>
      </c>
      <c r="E781" s="2" t="s">
        <v>87</v>
      </c>
      <c r="F781" s="20">
        <v>42776.526180555556</v>
      </c>
      <c r="G781" s="20"/>
      <c r="H781" s="20"/>
      <c r="I781">
        <v>781</v>
      </c>
    </row>
    <row r="782" spans="1:9" ht="63.75" x14ac:dyDescent="0.2">
      <c r="A782" s="2" t="s">
        <v>86</v>
      </c>
      <c r="B782" s="2" t="s">
        <v>37</v>
      </c>
      <c r="C782" s="20">
        <v>42776.44253472222</v>
      </c>
      <c r="D782" s="2" t="s">
        <v>6</v>
      </c>
      <c r="E782" s="2" t="s">
        <v>41</v>
      </c>
      <c r="F782" s="20">
        <v>42776.531481481485</v>
      </c>
      <c r="G782" s="20"/>
      <c r="H782" s="20"/>
      <c r="I782">
        <v>782</v>
      </c>
    </row>
    <row r="783" spans="1:9" ht="25.5" x14ac:dyDescent="0.2">
      <c r="A783" s="2" t="s">
        <v>86</v>
      </c>
      <c r="B783" s="2" t="s">
        <v>37</v>
      </c>
      <c r="C783" s="20">
        <v>42776.44253472222</v>
      </c>
      <c r="D783" s="2" t="s">
        <v>5</v>
      </c>
      <c r="E783" s="2" t="s">
        <v>39</v>
      </c>
      <c r="F783" s="20">
        <v>42776.533402777779</v>
      </c>
      <c r="G783" s="20"/>
      <c r="H783" s="20"/>
      <c r="I783">
        <v>783</v>
      </c>
    </row>
    <row r="784" spans="1:9" ht="25.5" x14ac:dyDescent="0.2">
      <c r="A784" s="2" t="s">
        <v>86</v>
      </c>
      <c r="B784" s="2" t="s">
        <v>37</v>
      </c>
      <c r="C784" s="20">
        <v>42776.44253472222</v>
      </c>
      <c r="D784" s="2" t="s">
        <v>5</v>
      </c>
      <c r="E784" s="2" t="s">
        <v>69</v>
      </c>
      <c r="F784" s="20">
        <v>42776.66684027778</v>
      </c>
      <c r="G784" s="20"/>
      <c r="H784" s="20"/>
      <c r="I784">
        <v>784</v>
      </c>
    </row>
    <row r="785" spans="1:9" ht="63.75" x14ac:dyDescent="0.2">
      <c r="A785" s="2" t="s">
        <v>86</v>
      </c>
      <c r="B785" s="2" t="s">
        <v>37</v>
      </c>
      <c r="C785" s="20">
        <v>42776.44253472222</v>
      </c>
      <c r="D785" s="2" t="s">
        <v>6</v>
      </c>
      <c r="E785" s="2" t="s">
        <v>85</v>
      </c>
      <c r="F785" s="20">
        <v>42776.714699074073</v>
      </c>
      <c r="G785" s="20"/>
      <c r="H785" s="20"/>
      <c r="I785">
        <v>785</v>
      </c>
    </row>
    <row r="786" spans="1:9" ht="25.5" x14ac:dyDescent="0.2">
      <c r="A786" s="2" t="s">
        <v>84</v>
      </c>
      <c r="B786" s="2" t="s">
        <v>83</v>
      </c>
      <c r="C786" s="20">
        <v>42776.446747685186</v>
      </c>
      <c r="D786" s="2" t="s">
        <v>5</v>
      </c>
      <c r="E786" s="2" t="s">
        <v>40</v>
      </c>
      <c r="F786" s="20">
        <v>42776.446793981479</v>
      </c>
      <c r="G786" s="20"/>
      <c r="H786" s="20"/>
      <c r="I786">
        <v>786</v>
      </c>
    </row>
    <row r="787" spans="1:9" ht="25.5" x14ac:dyDescent="0.2">
      <c r="A787" s="2" t="s">
        <v>84</v>
      </c>
      <c r="B787" s="2" t="s">
        <v>83</v>
      </c>
      <c r="C787" s="20">
        <v>42776.446747685186</v>
      </c>
      <c r="D787" s="2" t="s">
        <v>5</v>
      </c>
      <c r="E787" s="2" t="s">
        <v>69</v>
      </c>
      <c r="F787" s="20">
        <v>42776.453344907408</v>
      </c>
      <c r="G787" s="20"/>
      <c r="H787" s="20"/>
      <c r="I787">
        <v>787</v>
      </c>
    </row>
    <row r="788" spans="1:9" ht="63.75" x14ac:dyDescent="0.2">
      <c r="A788" s="2" t="s">
        <v>84</v>
      </c>
      <c r="B788" s="2" t="s">
        <v>83</v>
      </c>
      <c r="C788" s="20">
        <v>42776.446747685186</v>
      </c>
      <c r="D788" s="2" t="s">
        <v>6</v>
      </c>
      <c r="E788" s="2" t="s">
        <v>67</v>
      </c>
      <c r="F788" s="20">
        <v>42776.553993055553</v>
      </c>
      <c r="G788" s="20"/>
      <c r="H788" s="20"/>
      <c r="I788">
        <v>788</v>
      </c>
    </row>
    <row r="789" spans="1:9" ht="25.5" x14ac:dyDescent="0.2">
      <c r="A789" s="2" t="s">
        <v>82</v>
      </c>
      <c r="B789" s="2" t="s">
        <v>37</v>
      </c>
      <c r="C789" s="20">
        <v>42776.45349537037</v>
      </c>
      <c r="D789" s="2" t="s">
        <v>5</v>
      </c>
      <c r="E789" s="2" t="s">
        <v>40</v>
      </c>
      <c r="F789" s="20">
        <v>42776.453576388885</v>
      </c>
      <c r="G789" s="20"/>
      <c r="H789" s="20"/>
      <c r="I789">
        <v>789</v>
      </c>
    </row>
    <row r="790" spans="1:9" ht="25.5" x14ac:dyDescent="0.2">
      <c r="A790" s="2" t="s">
        <v>82</v>
      </c>
      <c r="B790" s="2" t="s">
        <v>37</v>
      </c>
      <c r="C790" s="20">
        <v>42776.45349537037</v>
      </c>
      <c r="D790" s="2" t="s">
        <v>5</v>
      </c>
      <c r="E790" s="2" t="s">
        <v>69</v>
      </c>
      <c r="F790" s="20">
        <v>42776.457881944443</v>
      </c>
      <c r="G790" s="20"/>
      <c r="H790" s="20"/>
      <c r="I790">
        <v>790</v>
      </c>
    </row>
    <row r="791" spans="1:9" ht="63.75" x14ac:dyDescent="0.2">
      <c r="A791" s="2" t="s">
        <v>82</v>
      </c>
      <c r="B791" s="2" t="s">
        <v>37</v>
      </c>
      <c r="C791" s="20">
        <v>42776.45349537037</v>
      </c>
      <c r="D791" s="2" t="s">
        <v>6</v>
      </c>
      <c r="E791" s="2" t="s">
        <v>67</v>
      </c>
      <c r="F791" s="20">
        <v>42776.554108796299</v>
      </c>
      <c r="G791" s="20"/>
      <c r="H791" s="20"/>
      <c r="I791">
        <v>791</v>
      </c>
    </row>
    <row r="792" spans="1:9" ht="25.5" x14ac:dyDescent="0.2">
      <c r="A792" s="2" t="s">
        <v>81</v>
      </c>
      <c r="B792" s="2" t="s">
        <v>37</v>
      </c>
      <c r="C792" s="20">
        <v>42776.467835648145</v>
      </c>
      <c r="D792" s="2" t="s">
        <v>5</v>
      </c>
      <c r="E792" s="2" t="s">
        <v>40</v>
      </c>
      <c r="F792" s="20">
        <v>42776.467905092592</v>
      </c>
      <c r="G792" s="20"/>
      <c r="H792" s="20"/>
      <c r="I792">
        <v>792</v>
      </c>
    </row>
    <row r="793" spans="1:9" ht="25.5" x14ac:dyDescent="0.2">
      <c r="A793" s="2" t="s">
        <v>81</v>
      </c>
      <c r="B793" s="2" t="s">
        <v>37</v>
      </c>
      <c r="C793" s="20">
        <v>42776.467835648145</v>
      </c>
      <c r="D793" s="2" t="s">
        <v>5</v>
      </c>
      <c r="E793" s="2" t="s">
        <v>39</v>
      </c>
      <c r="F793" s="20">
        <v>42776.469085648147</v>
      </c>
      <c r="G793" s="20"/>
      <c r="H793" s="20"/>
      <c r="I793">
        <v>793</v>
      </c>
    </row>
    <row r="794" spans="1:9" ht="63.75" x14ac:dyDescent="0.2">
      <c r="A794" s="2" t="s">
        <v>81</v>
      </c>
      <c r="B794" s="2" t="s">
        <v>37</v>
      </c>
      <c r="C794" s="20">
        <v>42776.467835648145</v>
      </c>
      <c r="D794" s="2" t="s">
        <v>6</v>
      </c>
      <c r="E794" s="2" t="s">
        <v>41</v>
      </c>
      <c r="F794" s="20">
        <v>42776.488368055558</v>
      </c>
      <c r="G794" s="20"/>
      <c r="H794" s="20"/>
      <c r="I794">
        <v>794</v>
      </c>
    </row>
    <row r="795" spans="1:9" ht="25.5" x14ac:dyDescent="0.2">
      <c r="A795" s="2" t="s">
        <v>80</v>
      </c>
      <c r="B795" s="2" t="s">
        <v>37</v>
      </c>
      <c r="C795" s="20">
        <v>42776.469201388885</v>
      </c>
      <c r="D795" s="2" t="s">
        <v>5</v>
      </c>
      <c r="E795" s="2" t="s">
        <v>40</v>
      </c>
      <c r="F795" s="20">
        <v>42776.469224537039</v>
      </c>
      <c r="G795" s="20"/>
      <c r="H795" s="20"/>
      <c r="I795">
        <v>795</v>
      </c>
    </row>
    <row r="796" spans="1:9" ht="25.5" x14ac:dyDescent="0.2">
      <c r="A796" s="2" t="s">
        <v>80</v>
      </c>
      <c r="B796" s="2" t="s">
        <v>37</v>
      </c>
      <c r="C796" s="20">
        <v>42776.469201388885</v>
      </c>
      <c r="D796" s="2" t="s">
        <v>5</v>
      </c>
      <c r="E796" s="2" t="s">
        <v>39</v>
      </c>
      <c r="F796" s="20">
        <v>42776.470011574071</v>
      </c>
      <c r="G796" s="20"/>
      <c r="H796" s="20"/>
      <c r="I796">
        <v>796</v>
      </c>
    </row>
    <row r="797" spans="1:9" ht="25.5" x14ac:dyDescent="0.2">
      <c r="A797" s="2" t="s">
        <v>80</v>
      </c>
      <c r="B797" s="2" t="s">
        <v>37</v>
      </c>
      <c r="C797" s="20">
        <v>42776.469201388885</v>
      </c>
      <c r="D797" s="2" t="s">
        <v>5</v>
      </c>
      <c r="E797" s="2" t="s">
        <v>71</v>
      </c>
      <c r="F797" s="20">
        <v>42776.495868055557</v>
      </c>
      <c r="G797" s="20"/>
      <c r="H797" s="20"/>
      <c r="I797">
        <v>797</v>
      </c>
    </row>
    <row r="798" spans="1:9" ht="25.5" x14ac:dyDescent="0.2">
      <c r="A798" s="2" t="s">
        <v>79</v>
      </c>
      <c r="B798" s="2" t="s">
        <v>37</v>
      </c>
      <c r="C798" s="20">
        <v>42776.484988425924</v>
      </c>
      <c r="D798" s="2" t="s">
        <v>5</v>
      </c>
      <c r="E798" s="2" t="s">
        <v>40</v>
      </c>
      <c r="F798" s="20">
        <v>42776.48505787037</v>
      </c>
      <c r="G798" s="20"/>
      <c r="H798" s="20"/>
      <c r="I798">
        <v>798</v>
      </c>
    </row>
    <row r="799" spans="1:9" ht="25.5" x14ac:dyDescent="0.2">
      <c r="A799" s="2" t="s">
        <v>79</v>
      </c>
      <c r="B799" s="2" t="s">
        <v>37</v>
      </c>
      <c r="C799" s="20">
        <v>42776.484988425924</v>
      </c>
      <c r="D799" s="2" t="s">
        <v>5</v>
      </c>
      <c r="E799" s="2" t="s">
        <v>39</v>
      </c>
      <c r="F799" s="20">
        <v>42776.505891203706</v>
      </c>
      <c r="G799" s="20"/>
      <c r="H799" s="20"/>
      <c r="I799">
        <v>799</v>
      </c>
    </row>
    <row r="800" spans="1:9" ht="63.75" x14ac:dyDescent="0.2">
      <c r="A800" s="2" t="s">
        <v>79</v>
      </c>
      <c r="B800" s="2" t="s">
        <v>37</v>
      </c>
      <c r="C800" s="20">
        <v>42776.484988425924</v>
      </c>
      <c r="D800" s="2" t="s">
        <v>6</v>
      </c>
      <c r="E800" s="2" t="s">
        <v>43</v>
      </c>
      <c r="F800" s="20">
        <v>42776.505891203706</v>
      </c>
      <c r="G800" s="20"/>
      <c r="H800" s="20"/>
      <c r="I800">
        <v>800</v>
      </c>
    </row>
    <row r="801" spans="1:9" ht="25.5" x14ac:dyDescent="0.2">
      <c r="A801" s="2" t="s">
        <v>79</v>
      </c>
      <c r="B801" s="2" t="s">
        <v>37</v>
      </c>
      <c r="C801" s="20">
        <v>42776.484988425924</v>
      </c>
      <c r="D801" s="2" t="s">
        <v>5</v>
      </c>
      <c r="E801" s="2" t="s">
        <v>69</v>
      </c>
      <c r="F801" s="20">
        <v>42776.549560185187</v>
      </c>
      <c r="G801" s="20"/>
      <c r="H801" s="20"/>
      <c r="I801">
        <v>801</v>
      </c>
    </row>
    <row r="802" spans="1:9" ht="63.75" x14ac:dyDescent="0.2">
      <c r="A802" s="2" t="s">
        <v>79</v>
      </c>
      <c r="B802" s="2" t="s">
        <v>37</v>
      </c>
      <c r="C802" s="20">
        <v>42776.484988425924</v>
      </c>
      <c r="D802" s="2" t="s">
        <v>6</v>
      </c>
      <c r="E802" s="2" t="s">
        <v>67</v>
      </c>
      <c r="F802" s="20">
        <v>42776.554224537038</v>
      </c>
      <c r="G802" s="20"/>
      <c r="H802" s="20"/>
      <c r="I802">
        <v>802</v>
      </c>
    </row>
    <row r="803" spans="1:9" ht="25.5" x14ac:dyDescent="0.2">
      <c r="A803" s="2" t="s">
        <v>78</v>
      </c>
      <c r="B803" s="2" t="s">
        <v>37</v>
      </c>
      <c r="C803" s="20">
        <v>42776.485023148147</v>
      </c>
      <c r="D803" s="2" t="s">
        <v>5</v>
      </c>
      <c r="E803" s="2" t="s">
        <v>40</v>
      </c>
      <c r="F803" s="20">
        <v>42776.48505787037</v>
      </c>
      <c r="G803" s="20"/>
      <c r="H803" s="20"/>
      <c r="I803">
        <v>803</v>
      </c>
    </row>
    <row r="804" spans="1:9" ht="25.5" x14ac:dyDescent="0.2">
      <c r="A804" s="2" t="s">
        <v>78</v>
      </c>
      <c r="B804" s="2" t="s">
        <v>37</v>
      </c>
      <c r="C804" s="20">
        <v>42776.485023148147</v>
      </c>
      <c r="D804" s="2" t="s">
        <v>5</v>
      </c>
      <c r="E804" s="2" t="s">
        <v>39</v>
      </c>
      <c r="F804" s="20">
        <v>42776.485983796294</v>
      </c>
      <c r="G804" s="20"/>
      <c r="H804" s="20"/>
      <c r="I804">
        <v>804</v>
      </c>
    </row>
    <row r="805" spans="1:9" ht="51" x14ac:dyDescent="0.2">
      <c r="A805" s="2" t="s">
        <v>78</v>
      </c>
      <c r="B805" s="2" t="s">
        <v>37</v>
      </c>
      <c r="C805" s="20">
        <v>42776.485023148147</v>
      </c>
      <c r="D805" s="2" t="s">
        <v>6</v>
      </c>
      <c r="E805" s="2" t="s">
        <v>77</v>
      </c>
      <c r="F805" s="20">
        <v>42776.521087962959</v>
      </c>
      <c r="G805" s="20"/>
      <c r="H805" s="20"/>
      <c r="I805">
        <v>805</v>
      </c>
    </row>
    <row r="806" spans="1:9" ht="25.5" x14ac:dyDescent="0.2">
      <c r="A806" s="2" t="s">
        <v>76</v>
      </c>
      <c r="B806" s="2" t="s">
        <v>37</v>
      </c>
      <c r="C806" s="20">
        <v>42776.508356481485</v>
      </c>
      <c r="D806" s="2" t="s">
        <v>5</v>
      </c>
      <c r="E806" s="2" t="s">
        <v>40</v>
      </c>
      <c r="F806" s="20">
        <v>42776.508437500001</v>
      </c>
      <c r="G806" s="20"/>
      <c r="H806" s="20"/>
      <c r="I806">
        <v>806</v>
      </c>
    </row>
    <row r="807" spans="1:9" ht="25.5" x14ac:dyDescent="0.2">
      <c r="A807" s="2" t="s">
        <v>76</v>
      </c>
      <c r="B807" s="2" t="s">
        <v>37</v>
      </c>
      <c r="C807" s="20">
        <v>42776.508356481485</v>
      </c>
      <c r="D807" s="2" t="s">
        <v>5</v>
      </c>
      <c r="E807" s="2" t="s">
        <v>69</v>
      </c>
      <c r="F807" s="20">
        <v>42776.515069444446</v>
      </c>
      <c r="G807" s="20"/>
      <c r="H807" s="20"/>
      <c r="I807">
        <v>807</v>
      </c>
    </row>
    <row r="808" spans="1:9" ht="63.75" x14ac:dyDescent="0.2">
      <c r="A808" s="2" t="s">
        <v>76</v>
      </c>
      <c r="B808" s="2" t="s">
        <v>37</v>
      </c>
      <c r="C808" s="20">
        <v>42776.508356481485</v>
      </c>
      <c r="D808" s="2" t="s">
        <v>6</v>
      </c>
      <c r="E808" s="2" t="s">
        <v>67</v>
      </c>
      <c r="F808" s="20">
        <v>42776.517442129632</v>
      </c>
      <c r="G808" s="20"/>
      <c r="H808" s="20"/>
      <c r="I808">
        <v>808</v>
      </c>
    </row>
    <row r="809" spans="1:9" ht="25.5" x14ac:dyDescent="0.2">
      <c r="A809" s="2" t="s">
        <v>75</v>
      </c>
      <c r="B809" s="2" t="s">
        <v>37</v>
      </c>
      <c r="C809" s="20">
        <v>42776.514340277776</v>
      </c>
      <c r="D809" s="2" t="s">
        <v>5</v>
      </c>
      <c r="E809" s="2" t="s">
        <v>40</v>
      </c>
      <c r="F809" s="20">
        <v>42776.514386574076</v>
      </c>
      <c r="G809" s="20"/>
      <c r="H809" s="20"/>
      <c r="I809">
        <v>809</v>
      </c>
    </row>
    <row r="810" spans="1:9" ht="25.5" x14ac:dyDescent="0.2">
      <c r="A810" s="2" t="s">
        <v>75</v>
      </c>
      <c r="B810" s="2" t="s">
        <v>37</v>
      </c>
      <c r="C810" s="20">
        <v>42776.514340277776</v>
      </c>
      <c r="D810" s="2" t="s">
        <v>5</v>
      </c>
      <c r="E810" s="2" t="s">
        <v>39</v>
      </c>
      <c r="F810" s="20">
        <v>42776.516909722224</v>
      </c>
      <c r="G810" s="20"/>
      <c r="H810" s="20"/>
      <c r="I810">
        <v>810</v>
      </c>
    </row>
    <row r="811" spans="1:9" ht="63.75" x14ac:dyDescent="0.2">
      <c r="A811" s="2" t="s">
        <v>75</v>
      </c>
      <c r="B811" s="2" t="s">
        <v>37</v>
      </c>
      <c r="C811" s="20">
        <v>42776.514340277776</v>
      </c>
      <c r="D811" s="2" t="s">
        <v>6</v>
      </c>
      <c r="E811" s="2" t="s">
        <v>41</v>
      </c>
      <c r="F811" s="20">
        <v>42776.562407407408</v>
      </c>
      <c r="G811" s="20"/>
      <c r="H811" s="20"/>
      <c r="I811">
        <v>811</v>
      </c>
    </row>
    <row r="812" spans="1:9" ht="25.5" x14ac:dyDescent="0.2">
      <c r="A812" s="2" t="s">
        <v>74</v>
      </c>
      <c r="B812" s="2" t="s">
        <v>37</v>
      </c>
      <c r="C812" s="20">
        <v>42776.526018518518</v>
      </c>
      <c r="D812" s="2" t="s">
        <v>5</v>
      </c>
      <c r="E812" s="2" t="s">
        <v>40</v>
      </c>
      <c r="F812" s="20">
        <v>42776.526064814818</v>
      </c>
      <c r="G812" s="20"/>
      <c r="H812" s="20"/>
      <c r="I812">
        <v>812</v>
      </c>
    </row>
    <row r="813" spans="1:9" ht="25.5" x14ac:dyDescent="0.2">
      <c r="A813" s="2" t="s">
        <v>74</v>
      </c>
      <c r="B813" s="2" t="s">
        <v>37</v>
      </c>
      <c r="C813" s="20">
        <v>42776.526018518518</v>
      </c>
      <c r="D813" s="2" t="s">
        <v>5</v>
      </c>
      <c r="E813" s="2" t="s">
        <v>39</v>
      </c>
      <c r="F813" s="20">
        <v>42776.532233796293</v>
      </c>
      <c r="G813" s="20"/>
      <c r="H813" s="20"/>
      <c r="I813">
        <v>813</v>
      </c>
    </row>
    <row r="814" spans="1:9" ht="25.5" x14ac:dyDescent="0.2">
      <c r="A814" s="2" t="s">
        <v>74</v>
      </c>
      <c r="B814" s="2" t="s">
        <v>37</v>
      </c>
      <c r="C814" s="20">
        <v>42776.526018518518</v>
      </c>
      <c r="D814" s="2" t="s">
        <v>5</v>
      </c>
      <c r="E814" s="2" t="s">
        <v>65</v>
      </c>
      <c r="F814" s="20">
        <v>42776.563391203701</v>
      </c>
      <c r="G814" s="20"/>
      <c r="H814" s="20"/>
      <c r="I814">
        <v>814</v>
      </c>
    </row>
    <row r="815" spans="1:9" ht="63.75" x14ac:dyDescent="0.2">
      <c r="A815" s="2" t="s">
        <v>74</v>
      </c>
      <c r="B815" s="2" t="s">
        <v>37</v>
      </c>
      <c r="C815" s="20">
        <v>42776.526018518518</v>
      </c>
      <c r="D815" s="2" t="s">
        <v>6</v>
      </c>
      <c r="E815" s="2" t="s">
        <v>73</v>
      </c>
      <c r="F815" s="20">
        <v>42776.563391203701</v>
      </c>
      <c r="G815" s="20"/>
      <c r="H815" s="20"/>
      <c r="I815">
        <v>815</v>
      </c>
    </row>
    <row r="816" spans="1:9" ht="25.5" x14ac:dyDescent="0.2">
      <c r="A816" s="2" t="s">
        <v>72</v>
      </c>
      <c r="B816" s="2" t="s">
        <v>37</v>
      </c>
      <c r="C816" s="20">
        <v>42776.535590277781</v>
      </c>
      <c r="D816" s="2" t="s">
        <v>5</v>
      </c>
      <c r="E816" s="2" t="s">
        <v>40</v>
      </c>
      <c r="F816" s="20">
        <v>42776.53564814815</v>
      </c>
      <c r="G816" s="20"/>
      <c r="H816" s="20"/>
      <c r="I816">
        <v>816</v>
      </c>
    </row>
    <row r="817" spans="1:9" ht="25.5" x14ac:dyDescent="0.2">
      <c r="A817" s="2" t="s">
        <v>72</v>
      </c>
      <c r="B817" s="2" t="s">
        <v>37</v>
      </c>
      <c r="C817" s="20">
        <v>42776.535590277781</v>
      </c>
      <c r="D817" s="2" t="s">
        <v>5</v>
      </c>
      <c r="E817" s="2" t="s">
        <v>39</v>
      </c>
      <c r="F817" s="20">
        <v>42776.539884259262</v>
      </c>
      <c r="G817" s="20"/>
      <c r="H817" s="20"/>
      <c r="I817">
        <v>817</v>
      </c>
    </row>
    <row r="818" spans="1:9" ht="25.5" x14ac:dyDescent="0.2">
      <c r="A818" s="2" t="s">
        <v>72</v>
      </c>
      <c r="B818" s="2" t="s">
        <v>37</v>
      </c>
      <c r="C818" s="20">
        <v>42776.535590277781</v>
      </c>
      <c r="D818" s="2" t="s">
        <v>5</v>
      </c>
      <c r="E818" s="2" t="s">
        <v>71</v>
      </c>
      <c r="F818" s="20">
        <v>42776.568252314813</v>
      </c>
      <c r="G818" s="20"/>
      <c r="H818" s="20"/>
      <c r="I818">
        <v>818</v>
      </c>
    </row>
    <row r="819" spans="1:9" ht="25.5" x14ac:dyDescent="0.2">
      <c r="A819" s="2" t="s">
        <v>70</v>
      </c>
      <c r="B819" s="2" t="s">
        <v>37</v>
      </c>
      <c r="C819" s="20">
        <v>42776.587048611109</v>
      </c>
      <c r="D819" s="2" t="s">
        <v>5</v>
      </c>
      <c r="E819" s="2" t="s">
        <v>40</v>
      </c>
      <c r="F819" s="20">
        <v>42776.587118055555</v>
      </c>
      <c r="G819" s="20"/>
      <c r="H819" s="20"/>
      <c r="I819">
        <v>819</v>
      </c>
    </row>
    <row r="820" spans="1:9" ht="25.5" x14ac:dyDescent="0.2">
      <c r="A820" s="2" t="s">
        <v>70</v>
      </c>
      <c r="B820" s="2" t="s">
        <v>37</v>
      </c>
      <c r="C820" s="20">
        <v>42776.587048611109</v>
      </c>
      <c r="D820" s="2" t="s">
        <v>5</v>
      </c>
      <c r="E820" s="2" t="s">
        <v>39</v>
      </c>
      <c r="F820" s="20">
        <v>42776.593425925923</v>
      </c>
      <c r="G820" s="20"/>
      <c r="H820" s="20"/>
      <c r="I820">
        <v>820</v>
      </c>
    </row>
    <row r="821" spans="1:9" ht="63.75" x14ac:dyDescent="0.2">
      <c r="A821" s="2" t="s">
        <v>70</v>
      </c>
      <c r="B821" s="2" t="s">
        <v>37</v>
      </c>
      <c r="C821" s="20">
        <v>42776.587048611109</v>
      </c>
      <c r="D821" s="2" t="s">
        <v>6</v>
      </c>
      <c r="E821" s="2" t="s">
        <v>41</v>
      </c>
      <c r="F821" s="20">
        <v>42776.593425925923</v>
      </c>
      <c r="G821" s="20"/>
      <c r="H821" s="20"/>
      <c r="I821">
        <v>821</v>
      </c>
    </row>
    <row r="822" spans="1:9" ht="25.5" x14ac:dyDescent="0.2">
      <c r="A822" s="2" t="s">
        <v>68</v>
      </c>
      <c r="B822" s="2" t="s">
        <v>37</v>
      </c>
      <c r="C822" s="20">
        <v>42776.593611111108</v>
      </c>
      <c r="D822" s="2" t="s">
        <v>5</v>
      </c>
      <c r="E822" s="2" t="s">
        <v>40</v>
      </c>
      <c r="F822" s="20">
        <v>42776.593645833331</v>
      </c>
      <c r="G822" s="20">
        <v>42776.607986111114</v>
      </c>
      <c r="H822" s="20"/>
      <c r="I822">
        <v>822</v>
      </c>
    </row>
    <row r="823" spans="1:9" ht="25.5" x14ac:dyDescent="0.2">
      <c r="A823" s="2" t="s">
        <v>68</v>
      </c>
      <c r="B823" s="2" t="s">
        <v>37</v>
      </c>
      <c r="C823" s="20">
        <v>42776.593611111108</v>
      </c>
      <c r="D823" s="2" t="s">
        <v>5</v>
      </c>
      <c r="E823" s="2" t="s">
        <v>39</v>
      </c>
      <c r="F823" s="20">
        <v>42776.608078703706</v>
      </c>
      <c r="G823" s="20">
        <v>42776.607986111114</v>
      </c>
      <c r="H823" s="20"/>
      <c r="I823">
        <v>823</v>
      </c>
    </row>
    <row r="824" spans="1:9" ht="63.75" x14ac:dyDescent="0.2">
      <c r="A824" s="2" t="s">
        <v>68</v>
      </c>
      <c r="B824" s="2" t="s">
        <v>37</v>
      </c>
      <c r="C824" s="20">
        <v>42776.593611111108</v>
      </c>
      <c r="D824" s="2" t="s">
        <v>6</v>
      </c>
      <c r="E824" s="2" t="s">
        <v>43</v>
      </c>
      <c r="F824" s="20">
        <v>42776.608078703706</v>
      </c>
      <c r="G824" s="20">
        <v>42776.607986111114</v>
      </c>
      <c r="H824" s="20"/>
      <c r="I824">
        <v>824</v>
      </c>
    </row>
    <row r="825" spans="1:9" ht="25.5" x14ac:dyDescent="0.2">
      <c r="A825" s="2" t="s">
        <v>68</v>
      </c>
      <c r="B825" s="2" t="s">
        <v>37</v>
      </c>
      <c r="C825" s="20">
        <v>42776.593611111108</v>
      </c>
      <c r="D825" s="2" t="s">
        <v>5</v>
      </c>
      <c r="E825" s="2" t="s">
        <v>69</v>
      </c>
      <c r="F825" s="20">
        <v>42776.666493055556</v>
      </c>
      <c r="G825" s="20">
        <v>42776.607986111114</v>
      </c>
      <c r="H825" s="20"/>
      <c r="I825">
        <v>825</v>
      </c>
    </row>
    <row r="826" spans="1:9" ht="63.75" x14ac:dyDescent="0.2">
      <c r="A826" s="2" t="s">
        <v>68</v>
      </c>
      <c r="B826" s="2" t="s">
        <v>37</v>
      </c>
      <c r="C826" s="20">
        <v>42776.593611111108</v>
      </c>
      <c r="D826" s="2" t="s">
        <v>6</v>
      </c>
      <c r="E826" s="2" t="s">
        <v>67</v>
      </c>
      <c r="F826" s="20">
        <v>42776.714942129627</v>
      </c>
      <c r="G826" s="20">
        <v>42776.607986111114</v>
      </c>
      <c r="H826" s="20"/>
      <c r="I826">
        <v>826</v>
      </c>
    </row>
    <row r="827" spans="1:9" ht="25.5" x14ac:dyDescent="0.2">
      <c r="A827" s="2" t="s">
        <v>66</v>
      </c>
      <c r="B827" s="2" t="s">
        <v>37</v>
      </c>
      <c r="C827" s="20">
        <v>42776.625879629632</v>
      </c>
      <c r="D827" s="2" t="s">
        <v>5</v>
      </c>
      <c r="E827" s="2" t="s">
        <v>40</v>
      </c>
      <c r="F827" s="20">
        <v>42776.625902777778</v>
      </c>
      <c r="G827" s="20"/>
      <c r="H827" s="20"/>
      <c r="I827">
        <v>827</v>
      </c>
    </row>
    <row r="828" spans="1:9" ht="25.5" x14ac:dyDescent="0.2">
      <c r="A828" s="2" t="s">
        <v>66</v>
      </c>
      <c r="B828" s="2" t="s">
        <v>37</v>
      </c>
      <c r="C828" s="20">
        <v>42776.625879629632</v>
      </c>
      <c r="D828" s="2" t="s">
        <v>5</v>
      </c>
      <c r="E828" s="2" t="s">
        <v>65</v>
      </c>
      <c r="F828" s="20">
        <v>42776.62940972222</v>
      </c>
      <c r="G828" s="20"/>
      <c r="H828" s="20"/>
      <c r="I828">
        <v>828</v>
      </c>
    </row>
    <row r="829" spans="1:9" ht="25.5" x14ac:dyDescent="0.2">
      <c r="A829" s="2" t="s">
        <v>64</v>
      </c>
      <c r="B829" s="2" t="s">
        <v>37</v>
      </c>
      <c r="C829" s="20">
        <v>42776.644571759258</v>
      </c>
      <c r="D829" s="2" t="s">
        <v>5</v>
      </c>
      <c r="E829" s="2" t="s">
        <v>40</v>
      </c>
      <c r="F829" s="20">
        <v>42776.644618055558</v>
      </c>
      <c r="G829" s="20"/>
      <c r="H829" s="20"/>
      <c r="I829">
        <v>829</v>
      </c>
    </row>
    <row r="830" spans="1:9" ht="25.5" x14ac:dyDescent="0.2">
      <c r="A830" s="2" t="s">
        <v>64</v>
      </c>
      <c r="B830" s="2" t="s">
        <v>37</v>
      </c>
      <c r="C830" s="20">
        <v>42776.644571759258</v>
      </c>
      <c r="D830" s="2" t="s">
        <v>5</v>
      </c>
      <c r="E830" s="2" t="s">
        <v>39</v>
      </c>
      <c r="F830" s="20">
        <v>42776.645787037036</v>
      </c>
      <c r="G830" s="20"/>
      <c r="H830" s="20"/>
      <c r="I830">
        <v>830</v>
      </c>
    </row>
    <row r="831" spans="1:9" ht="63.75" x14ac:dyDescent="0.2">
      <c r="A831" s="2" t="s">
        <v>64</v>
      </c>
      <c r="B831" s="2" t="s">
        <v>37</v>
      </c>
      <c r="C831" s="20">
        <v>42776.644571759258</v>
      </c>
      <c r="D831" s="2" t="s">
        <v>6</v>
      </c>
      <c r="E831" s="2" t="s">
        <v>55</v>
      </c>
      <c r="F831" s="20">
        <v>42776.645787037036</v>
      </c>
      <c r="G831" s="20"/>
      <c r="H831" s="20"/>
      <c r="I831">
        <v>831</v>
      </c>
    </row>
    <row r="832" spans="1:9" ht="25.5" x14ac:dyDescent="0.2">
      <c r="A832" s="2" t="s">
        <v>63</v>
      </c>
      <c r="B832" s="2" t="s">
        <v>37</v>
      </c>
      <c r="C832" s="20">
        <v>42776.645381944443</v>
      </c>
      <c r="D832" s="2" t="s">
        <v>5</v>
      </c>
      <c r="E832" s="2" t="s">
        <v>40</v>
      </c>
      <c r="F832" s="20">
        <v>42776.645428240743</v>
      </c>
      <c r="G832" s="20"/>
      <c r="H832" s="20"/>
      <c r="I832">
        <v>832</v>
      </c>
    </row>
    <row r="833" spans="1:9" ht="25.5" x14ac:dyDescent="0.2">
      <c r="A833" s="2" t="s">
        <v>63</v>
      </c>
      <c r="B833" s="2" t="s">
        <v>37</v>
      </c>
      <c r="C833" s="20">
        <v>42776.645381944443</v>
      </c>
      <c r="D833" s="2" t="s">
        <v>5</v>
      </c>
      <c r="E833" s="2" t="s">
        <v>39</v>
      </c>
      <c r="F833" s="20">
        <v>42776.656550925924</v>
      </c>
      <c r="G833" s="20"/>
      <c r="H833" s="20"/>
      <c r="I833">
        <v>833</v>
      </c>
    </row>
    <row r="834" spans="1:9" ht="51" x14ac:dyDescent="0.2">
      <c r="A834" s="2" t="s">
        <v>63</v>
      </c>
      <c r="B834" s="2" t="s">
        <v>37</v>
      </c>
      <c r="C834" s="20">
        <v>42776.645381944443</v>
      </c>
      <c r="D834" s="2" t="s">
        <v>6</v>
      </c>
      <c r="E834" s="2" t="s">
        <v>58</v>
      </c>
      <c r="F834" s="20">
        <v>42776.656550925924</v>
      </c>
      <c r="G834" s="20"/>
      <c r="H834" s="20"/>
      <c r="I834">
        <v>834</v>
      </c>
    </row>
    <row r="835" spans="1:9" ht="25.5" x14ac:dyDescent="0.2">
      <c r="A835" s="2" t="s">
        <v>62</v>
      </c>
      <c r="B835" s="2" t="s">
        <v>37</v>
      </c>
      <c r="C835" s="20">
        <v>42776.648715277777</v>
      </c>
      <c r="D835" s="2" t="s">
        <v>5</v>
      </c>
      <c r="E835" s="2" t="s">
        <v>40</v>
      </c>
      <c r="F835" s="20">
        <v>42776.64875</v>
      </c>
      <c r="G835" s="20">
        <v>42776.649861111109</v>
      </c>
      <c r="H835" s="20"/>
      <c r="I835">
        <v>835</v>
      </c>
    </row>
    <row r="836" spans="1:9" ht="25.5" x14ac:dyDescent="0.2">
      <c r="A836" s="2" t="s">
        <v>62</v>
      </c>
      <c r="B836" s="2" t="s">
        <v>37</v>
      </c>
      <c r="C836" s="20">
        <v>42776.648715277777</v>
      </c>
      <c r="D836" s="2" t="s">
        <v>5</v>
      </c>
      <c r="E836" s="2" t="s">
        <v>39</v>
      </c>
      <c r="F836" s="20">
        <v>42776.649907407409</v>
      </c>
      <c r="G836" s="20">
        <v>42776.649861111109</v>
      </c>
      <c r="H836" s="20"/>
      <c r="I836">
        <v>836</v>
      </c>
    </row>
    <row r="837" spans="1:9" ht="63.75" x14ac:dyDescent="0.2">
      <c r="A837" s="2" t="s">
        <v>62</v>
      </c>
      <c r="B837" s="2" t="s">
        <v>37</v>
      </c>
      <c r="C837" s="20">
        <v>42776.648715277777</v>
      </c>
      <c r="D837" s="2" t="s">
        <v>6</v>
      </c>
      <c r="E837" s="2" t="s">
        <v>43</v>
      </c>
      <c r="F837" s="20">
        <v>42776.649907407409</v>
      </c>
      <c r="G837" s="20">
        <v>42776.649861111109</v>
      </c>
      <c r="H837" s="20"/>
      <c r="I837">
        <v>837</v>
      </c>
    </row>
    <row r="838" spans="1:9" ht="25.5" x14ac:dyDescent="0.2">
      <c r="A838" s="2" t="s">
        <v>61</v>
      </c>
      <c r="B838" s="2" t="s">
        <v>37</v>
      </c>
      <c r="C838" s="20">
        <v>42776.662557870368</v>
      </c>
      <c r="D838" s="2" t="s">
        <v>5</v>
      </c>
      <c r="E838" s="2" t="s">
        <v>40</v>
      </c>
      <c r="F838" s="20">
        <v>42776.662604166668</v>
      </c>
      <c r="G838" s="20"/>
      <c r="H838" s="20"/>
      <c r="I838">
        <v>838</v>
      </c>
    </row>
    <row r="839" spans="1:9" ht="25.5" x14ac:dyDescent="0.2">
      <c r="A839" s="2" t="s">
        <v>61</v>
      </c>
      <c r="B839" s="2" t="s">
        <v>37</v>
      </c>
      <c r="C839" s="20">
        <v>42776.662557870368</v>
      </c>
      <c r="D839" s="2" t="s">
        <v>5</v>
      </c>
      <c r="E839" s="2" t="s">
        <v>39</v>
      </c>
      <c r="F839" s="20">
        <v>42776.669849537036</v>
      </c>
      <c r="G839" s="20"/>
      <c r="H839" s="20"/>
      <c r="I839">
        <v>839</v>
      </c>
    </row>
    <row r="840" spans="1:9" ht="63.75" x14ac:dyDescent="0.2">
      <c r="A840" s="2" t="s">
        <v>61</v>
      </c>
      <c r="B840" s="2" t="s">
        <v>37</v>
      </c>
      <c r="C840" s="20">
        <v>42776.662557870368</v>
      </c>
      <c r="D840" s="2" t="s">
        <v>6</v>
      </c>
      <c r="E840" s="2" t="s">
        <v>60</v>
      </c>
      <c r="F840" s="20">
        <v>42776.669849537036</v>
      </c>
      <c r="G840" s="20"/>
      <c r="H840" s="20"/>
      <c r="I840">
        <v>840</v>
      </c>
    </row>
    <row r="841" spans="1:9" ht="25.5" x14ac:dyDescent="0.2">
      <c r="A841" s="2" t="s">
        <v>59</v>
      </c>
      <c r="B841" s="2" t="s">
        <v>37</v>
      </c>
      <c r="C841" s="20">
        <v>42776.66479166667</v>
      </c>
      <c r="D841" s="2" t="s">
        <v>5</v>
      </c>
      <c r="E841" s="2" t="s">
        <v>40</v>
      </c>
      <c r="F841" s="20">
        <v>42776.664826388886</v>
      </c>
      <c r="G841" s="20"/>
      <c r="H841" s="20"/>
      <c r="I841">
        <v>841</v>
      </c>
    </row>
    <row r="842" spans="1:9" ht="25.5" x14ac:dyDescent="0.2">
      <c r="A842" s="2" t="s">
        <v>59</v>
      </c>
      <c r="B842" s="2" t="s">
        <v>37</v>
      </c>
      <c r="C842" s="20">
        <v>42776.66479166667</v>
      </c>
      <c r="D842" s="2" t="s">
        <v>5</v>
      </c>
      <c r="E842" s="2" t="s">
        <v>39</v>
      </c>
      <c r="F842" s="20">
        <v>42776.672673611109</v>
      </c>
      <c r="G842" s="20"/>
      <c r="H842" s="20"/>
      <c r="I842">
        <v>842</v>
      </c>
    </row>
    <row r="843" spans="1:9" ht="51" x14ac:dyDescent="0.2">
      <c r="A843" s="2" t="s">
        <v>59</v>
      </c>
      <c r="B843" s="2" t="s">
        <v>37</v>
      </c>
      <c r="C843" s="20">
        <v>42776.66479166667</v>
      </c>
      <c r="D843" s="2" t="s">
        <v>6</v>
      </c>
      <c r="E843" s="2" t="s">
        <v>58</v>
      </c>
      <c r="F843" s="20">
        <v>42776.672673611109</v>
      </c>
      <c r="G843" s="20"/>
      <c r="H843" s="20"/>
      <c r="I843">
        <v>843</v>
      </c>
    </row>
    <row r="844" spans="1:9" ht="25.5" x14ac:dyDescent="0.2">
      <c r="A844" s="2" t="s">
        <v>57</v>
      </c>
      <c r="B844" s="2" t="s">
        <v>37</v>
      </c>
      <c r="C844" s="20">
        <v>42776.674201388887</v>
      </c>
      <c r="D844" s="2" t="s">
        <v>5</v>
      </c>
      <c r="E844" s="2" t="s">
        <v>40</v>
      </c>
      <c r="F844" s="20">
        <v>42776.674212962964</v>
      </c>
      <c r="G844" s="20"/>
      <c r="H844" s="20"/>
      <c r="I844">
        <v>844</v>
      </c>
    </row>
    <row r="845" spans="1:9" ht="25.5" x14ac:dyDescent="0.2">
      <c r="A845" s="2" t="s">
        <v>57</v>
      </c>
      <c r="B845" s="2" t="s">
        <v>37</v>
      </c>
      <c r="C845" s="20">
        <v>42776.674201388887</v>
      </c>
      <c r="D845" s="2" t="s">
        <v>5</v>
      </c>
      <c r="E845" s="2" t="s">
        <v>39</v>
      </c>
      <c r="F845" s="20">
        <v>42776.676550925928</v>
      </c>
      <c r="G845" s="20"/>
      <c r="H845" s="20"/>
      <c r="I845">
        <v>845</v>
      </c>
    </row>
    <row r="846" spans="1:9" ht="63.75" x14ac:dyDescent="0.2">
      <c r="A846" s="2" t="s">
        <v>57</v>
      </c>
      <c r="B846" s="2" t="s">
        <v>37</v>
      </c>
      <c r="C846" s="20">
        <v>42776.674201388887</v>
      </c>
      <c r="D846" s="2" t="s">
        <v>6</v>
      </c>
      <c r="E846" s="2" t="s">
        <v>41</v>
      </c>
      <c r="F846" s="20">
        <v>42776.676550925928</v>
      </c>
      <c r="G846" s="20"/>
      <c r="H846" s="20"/>
      <c r="I846">
        <v>846</v>
      </c>
    </row>
    <row r="847" spans="1:9" ht="25.5" x14ac:dyDescent="0.2">
      <c r="A847" s="2" t="s">
        <v>56</v>
      </c>
      <c r="B847" s="2" t="s">
        <v>37</v>
      </c>
      <c r="C847" s="20">
        <v>42776.675173611111</v>
      </c>
      <c r="D847" s="2" t="s">
        <v>5</v>
      </c>
      <c r="E847" s="2" t="s">
        <v>40</v>
      </c>
      <c r="F847" s="20">
        <v>42776.675173611111</v>
      </c>
      <c r="G847" s="20"/>
      <c r="H847" s="20"/>
      <c r="I847">
        <v>847</v>
      </c>
    </row>
    <row r="848" spans="1:9" ht="25.5" x14ac:dyDescent="0.2">
      <c r="A848" s="2" t="s">
        <v>56</v>
      </c>
      <c r="B848" s="2" t="s">
        <v>37</v>
      </c>
      <c r="C848" s="20">
        <v>42776.675173611111</v>
      </c>
      <c r="D848" s="2" t="s">
        <v>5</v>
      </c>
      <c r="E848" s="2" t="s">
        <v>39</v>
      </c>
      <c r="F848" s="20">
        <v>42776.676215277781</v>
      </c>
      <c r="G848" s="20"/>
      <c r="H848" s="20"/>
      <c r="I848">
        <v>848</v>
      </c>
    </row>
    <row r="849" spans="1:9" ht="63.75" x14ac:dyDescent="0.2">
      <c r="A849" s="2" t="s">
        <v>56</v>
      </c>
      <c r="B849" s="2" t="s">
        <v>37</v>
      </c>
      <c r="C849" s="20">
        <v>42776.675173611111</v>
      </c>
      <c r="D849" s="2" t="s">
        <v>6</v>
      </c>
      <c r="E849" s="2" t="s">
        <v>55</v>
      </c>
      <c r="F849" s="20">
        <v>42776.676215277781</v>
      </c>
      <c r="G849" s="20"/>
      <c r="H849" s="20"/>
      <c r="I849">
        <v>849</v>
      </c>
    </row>
    <row r="850" spans="1:9" ht="25.5" x14ac:dyDescent="0.2">
      <c r="A850" s="2" t="s">
        <v>54</v>
      </c>
      <c r="B850" s="2" t="s">
        <v>37</v>
      </c>
      <c r="C850" s="20">
        <v>42776.677442129629</v>
      </c>
      <c r="D850" s="2" t="s">
        <v>5</v>
      </c>
      <c r="E850" s="2" t="s">
        <v>40</v>
      </c>
      <c r="F850" s="20">
        <v>42776.677488425928</v>
      </c>
      <c r="G850" s="20"/>
      <c r="H850" s="20"/>
      <c r="I850">
        <v>850</v>
      </c>
    </row>
    <row r="851" spans="1:9" ht="63.75" x14ac:dyDescent="0.2">
      <c r="A851" s="2" t="s">
        <v>54</v>
      </c>
      <c r="B851" s="2" t="s">
        <v>37</v>
      </c>
      <c r="C851" s="20">
        <v>42776.677442129629</v>
      </c>
      <c r="D851" s="2" t="s">
        <v>6</v>
      </c>
      <c r="E851" s="2" t="s">
        <v>43</v>
      </c>
      <c r="F851" s="20">
        <v>42776.682222222225</v>
      </c>
      <c r="G851" s="20"/>
      <c r="H851" s="20"/>
      <c r="I851">
        <v>851</v>
      </c>
    </row>
    <row r="852" spans="1:9" ht="25.5" x14ac:dyDescent="0.2">
      <c r="A852" s="2" t="s">
        <v>54</v>
      </c>
      <c r="B852" s="2" t="s">
        <v>37</v>
      </c>
      <c r="C852" s="20">
        <v>42776.677442129629</v>
      </c>
      <c r="D852" s="2" t="s">
        <v>5</v>
      </c>
      <c r="E852" s="2" t="s">
        <v>39</v>
      </c>
      <c r="F852" s="20">
        <v>42776.682233796295</v>
      </c>
      <c r="G852" s="20"/>
      <c r="H852" s="20"/>
      <c r="I852">
        <v>852</v>
      </c>
    </row>
    <row r="853" spans="1:9" ht="25.5" x14ac:dyDescent="0.2">
      <c r="A853" s="2" t="s">
        <v>53</v>
      </c>
      <c r="B853" s="2" t="s">
        <v>37</v>
      </c>
      <c r="C853" s="20">
        <v>42776.684374999997</v>
      </c>
      <c r="D853" s="2" t="s">
        <v>5</v>
      </c>
      <c r="E853" s="2" t="s">
        <v>40</v>
      </c>
      <c r="F853" s="20">
        <v>42776.684386574074</v>
      </c>
      <c r="G853" s="20"/>
      <c r="H853" s="20"/>
      <c r="I853">
        <v>853</v>
      </c>
    </row>
    <row r="854" spans="1:9" ht="25.5" x14ac:dyDescent="0.2">
      <c r="A854" s="2" t="s">
        <v>53</v>
      </c>
      <c r="B854" s="2" t="s">
        <v>37</v>
      </c>
      <c r="C854" s="20">
        <v>42776.684374999997</v>
      </c>
      <c r="D854" s="2" t="s">
        <v>5</v>
      </c>
      <c r="E854" s="2" t="s">
        <v>39</v>
      </c>
      <c r="F854" s="20">
        <v>42776.685324074075</v>
      </c>
      <c r="G854" s="20"/>
      <c r="H854" s="20"/>
      <c r="I854">
        <v>854</v>
      </c>
    </row>
    <row r="855" spans="1:9" ht="63.75" x14ac:dyDescent="0.2">
      <c r="A855" s="2" t="s">
        <v>53</v>
      </c>
      <c r="B855" s="2" t="s">
        <v>37</v>
      </c>
      <c r="C855" s="20">
        <v>42776.684374999997</v>
      </c>
      <c r="D855" s="2" t="s">
        <v>6</v>
      </c>
      <c r="E855" s="2" t="s">
        <v>36</v>
      </c>
      <c r="F855" s="20">
        <v>42776.726111111115</v>
      </c>
      <c r="G855" s="20"/>
      <c r="H855" s="20"/>
      <c r="I855">
        <v>855</v>
      </c>
    </row>
    <row r="856" spans="1:9" ht="25.5" x14ac:dyDescent="0.2">
      <c r="A856" s="2" t="s">
        <v>52</v>
      </c>
      <c r="B856" s="2" t="s">
        <v>37</v>
      </c>
      <c r="C856" s="20">
        <v>42776.694039351853</v>
      </c>
      <c r="D856" s="2" t="s">
        <v>5</v>
      </c>
      <c r="E856" s="2" t="s">
        <v>40</v>
      </c>
      <c r="F856" s="20">
        <v>42776.694039351853</v>
      </c>
      <c r="G856" s="20"/>
      <c r="H856" s="20"/>
      <c r="I856">
        <v>856</v>
      </c>
    </row>
    <row r="857" spans="1:9" ht="25.5" x14ac:dyDescent="0.2">
      <c r="A857" s="2" t="s">
        <v>52</v>
      </c>
      <c r="B857" s="2" t="s">
        <v>37</v>
      </c>
      <c r="C857" s="20">
        <v>42776.694039351853</v>
      </c>
      <c r="D857" s="2" t="s">
        <v>5</v>
      </c>
      <c r="E857" s="2" t="s">
        <v>39</v>
      </c>
      <c r="F857" s="20">
        <v>42776.702233796299</v>
      </c>
      <c r="G857" s="20"/>
      <c r="H857" s="20"/>
      <c r="I857">
        <v>857</v>
      </c>
    </row>
    <row r="858" spans="1:9" ht="63.75" x14ac:dyDescent="0.2">
      <c r="A858" s="2" t="s">
        <v>52</v>
      </c>
      <c r="B858" s="2" t="s">
        <v>37</v>
      </c>
      <c r="C858" s="20">
        <v>42776.694039351853</v>
      </c>
      <c r="D858" s="2" t="s">
        <v>6</v>
      </c>
      <c r="E858" s="2" t="s">
        <v>43</v>
      </c>
      <c r="F858" s="20">
        <v>42776.702233796299</v>
      </c>
      <c r="G858" s="20"/>
      <c r="H858" s="20"/>
      <c r="I858">
        <v>858</v>
      </c>
    </row>
    <row r="859" spans="1:9" ht="25.5" x14ac:dyDescent="0.2">
      <c r="A859" s="2" t="s">
        <v>51</v>
      </c>
      <c r="B859" s="2" t="s">
        <v>37</v>
      </c>
      <c r="C859" s="20">
        <v>42776.697118055556</v>
      </c>
      <c r="D859" s="2" t="s">
        <v>5</v>
      </c>
      <c r="E859" s="2" t="s">
        <v>40</v>
      </c>
      <c r="F859" s="20">
        <v>42776.697129629632</v>
      </c>
      <c r="G859" s="20"/>
      <c r="H859" s="20"/>
      <c r="I859">
        <v>859</v>
      </c>
    </row>
    <row r="860" spans="1:9" ht="25.5" x14ac:dyDescent="0.2">
      <c r="A860" s="2" t="s">
        <v>51</v>
      </c>
      <c r="B860" s="2" t="s">
        <v>37</v>
      </c>
      <c r="C860" s="20">
        <v>42776.697118055556</v>
      </c>
      <c r="D860" s="2" t="s">
        <v>5</v>
      </c>
      <c r="E860" s="2" t="s">
        <v>39</v>
      </c>
      <c r="F860" s="20">
        <v>42776.70076388889</v>
      </c>
      <c r="G860" s="20"/>
      <c r="H860" s="20"/>
      <c r="I860">
        <v>860</v>
      </c>
    </row>
    <row r="861" spans="1:9" ht="63.75" x14ac:dyDescent="0.2">
      <c r="A861" s="2" t="s">
        <v>51</v>
      </c>
      <c r="B861" s="2" t="s">
        <v>37</v>
      </c>
      <c r="C861" s="20">
        <v>42776.697118055556</v>
      </c>
      <c r="D861" s="2" t="s">
        <v>6</v>
      </c>
      <c r="E861" s="2" t="s">
        <v>50</v>
      </c>
      <c r="F861" s="20">
        <v>42776.740057870367</v>
      </c>
      <c r="G861" s="20"/>
      <c r="H861" s="20"/>
      <c r="I861">
        <v>861</v>
      </c>
    </row>
    <row r="862" spans="1:9" ht="25.5" x14ac:dyDescent="0.2">
      <c r="A862" s="2" t="s">
        <v>49</v>
      </c>
      <c r="B862" s="2" t="s">
        <v>37</v>
      </c>
      <c r="C862" s="20">
        <v>42776.706631944442</v>
      </c>
      <c r="D862" s="2" t="s">
        <v>5</v>
      </c>
      <c r="E862" s="2" t="s">
        <v>40</v>
      </c>
      <c r="F862" s="20">
        <v>42776.706666666665</v>
      </c>
      <c r="G862" s="20"/>
      <c r="H862" s="20"/>
      <c r="I862">
        <v>862</v>
      </c>
    </row>
    <row r="863" spans="1:9" ht="25.5" x14ac:dyDescent="0.2">
      <c r="A863" s="2" t="s">
        <v>49</v>
      </c>
      <c r="B863" s="2" t="s">
        <v>37</v>
      </c>
      <c r="C863" s="20">
        <v>42776.706631944442</v>
      </c>
      <c r="D863" s="2" t="s">
        <v>5</v>
      </c>
      <c r="E863" s="2" t="s">
        <v>39</v>
      </c>
      <c r="F863" s="20">
        <v>42776.709930555553</v>
      </c>
      <c r="G863" s="20"/>
      <c r="H863" s="20"/>
      <c r="I863">
        <v>863</v>
      </c>
    </row>
    <row r="864" spans="1:9" ht="63.75" x14ac:dyDescent="0.2">
      <c r="A864" s="2" t="s">
        <v>49</v>
      </c>
      <c r="B864" s="2" t="s">
        <v>37</v>
      </c>
      <c r="C864" s="20">
        <v>42776.706631944442</v>
      </c>
      <c r="D864" s="2" t="s">
        <v>6</v>
      </c>
      <c r="E864" s="2" t="s">
        <v>41</v>
      </c>
      <c r="F864" s="20">
        <v>42776.711921296293</v>
      </c>
      <c r="G864" s="20"/>
      <c r="H864" s="20"/>
      <c r="I864">
        <v>864</v>
      </c>
    </row>
    <row r="865" spans="1:9" ht="25.5" x14ac:dyDescent="0.2">
      <c r="A865" s="2" t="s">
        <v>48</v>
      </c>
      <c r="B865" s="2" t="s">
        <v>37</v>
      </c>
      <c r="C865" s="20">
        <v>42776.714826388888</v>
      </c>
      <c r="D865" s="2" t="s">
        <v>5</v>
      </c>
      <c r="E865" s="2" t="s">
        <v>40</v>
      </c>
      <c r="F865" s="20">
        <v>42776.714872685188</v>
      </c>
      <c r="G865" s="20"/>
      <c r="H865" s="20"/>
      <c r="I865">
        <v>865</v>
      </c>
    </row>
    <row r="866" spans="1:9" ht="25.5" x14ac:dyDescent="0.2">
      <c r="A866" s="2" t="s">
        <v>48</v>
      </c>
      <c r="B866" s="2" t="s">
        <v>37</v>
      </c>
      <c r="C866" s="20">
        <v>42776.714826388888</v>
      </c>
      <c r="D866" s="2" t="s">
        <v>5</v>
      </c>
      <c r="E866" s="2" t="s">
        <v>39</v>
      </c>
      <c r="F866" s="20">
        <v>42776.715682870374</v>
      </c>
      <c r="G866" s="20"/>
      <c r="H866" s="20"/>
      <c r="I866">
        <v>866</v>
      </c>
    </row>
    <row r="867" spans="1:9" ht="63.75" x14ac:dyDescent="0.2">
      <c r="A867" s="2" t="s">
        <v>48</v>
      </c>
      <c r="B867" s="2" t="s">
        <v>37</v>
      </c>
      <c r="C867" s="20">
        <v>42776.714826388888</v>
      </c>
      <c r="D867" s="2" t="s">
        <v>6</v>
      </c>
      <c r="E867" s="2" t="s">
        <v>47</v>
      </c>
      <c r="F867" s="20">
        <v>42776.715682870374</v>
      </c>
      <c r="G867" s="20"/>
      <c r="H867" s="20"/>
      <c r="I867">
        <v>867</v>
      </c>
    </row>
    <row r="868" spans="1:9" ht="25.5" x14ac:dyDescent="0.2">
      <c r="A868" s="2" t="s">
        <v>46</v>
      </c>
      <c r="B868" s="2" t="s">
        <v>37</v>
      </c>
      <c r="C868" s="20">
        <v>42776.731828703705</v>
      </c>
      <c r="D868" s="2" t="s">
        <v>5</v>
      </c>
      <c r="E868" s="2" t="s">
        <v>40</v>
      </c>
      <c r="F868" s="20">
        <v>42776.731874999998</v>
      </c>
      <c r="G868" s="20"/>
      <c r="H868" s="20"/>
      <c r="I868">
        <v>868</v>
      </c>
    </row>
    <row r="869" spans="1:9" ht="25.5" x14ac:dyDescent="0.2">
      <c r="A869" s="2" t="s">
        <v>46</v>
      </c>
      <c r="B869" s="2" t="s">
        <v>37</v>
      </c>
      <c r="C869" s="20">
        <v>42776.731828703705</v>
      </c>
      <c r="D869" s="2" t="s">
        <v>5</v>
      </c>
      <c r="E869" s="2" t="s">
        <v>39</v>
      </c>
      <c r="F869" s="20">
        <v>42776.73914351852</v>
      </c>
      <c r="G869" s="20"/>
      <c r="H869" s="20"/>
      <c r="I869">
        <v>869</v>
      </c>
    </row>
    <row r="870" spans="1:9" ht="63.75" x14ac:dyDescent="0.2">
      <c r="A870" s="2" t="s">
        <v>46</v>
      </c>
      <c r="B870" s="2" t="s">
        <v>37</v>
      </c>
      <c r="C870" s="20">
        <v>42776.731828703705</v>
      </c>
      <c r="D870" s="2" t="s">
        <v>6</v>
      </c>
      <c r="E870" s="2" t="s">
        <v>41</v>
      </c>
      <c r="F870" s="20">
        <v>42776.73914351852</v>
      </c>
      <c r="G870" s="20"/>
      <c r="H870" s="20"/>
      <c r="I870">
        <v>870</v>
      </c>
    </row>
    <row r="871" spans="1:9" ht="25.5" x14ac:dyDescent="0.2">
      <c r="A871" s="2" t="s">
        <v>45</v>
      </c>
      <c r="B871" s="2" t="s">
        <v>37</v>
      </c>
      <c r="C871" s="20">
        <v>42776.743159722224</v>
      </c>
      <c r="D871" s="2" t="s">
        <v>5</v>
      </c>
      <c r="E871" s="2" t="s">
        <v>40</v>
      </c>
      <c r="F871" s="20">
        <v>42776.743194444447</v>
      </c>
      <c r="G871" s="20"/>
      <c r="H871" s="20"/>
      <c r="I871">
        <v>871</v>
      </c>
    </row>
    <row r="872" spans="1:9" ht="25.5" x14ac:dyDescent="0.2">
      <c r="A872" s="2" t="s">
        <v>45</v>
      </c>
      <c r="B872" s="2" t="s">
        <v>37</v>
      </c>
      <c r="C872" s="20">
        <v>42776.743159722224</v>
      </c>
      <c r="D872" s="2" t="s">
        <v>5</v>
      </c>
      <c r="E872" s="2" t="s">
        <v>39</v>
      </c>
      <c r="F872" s="20">
        <v>42776.743831018517</v>
      </c>
      <c r="G872" s="20"/>
      <c r="H872" s="20"/>
      <c r="I872">
        <v>872</v>
      </c>
    </row>
    <row r="873" spans="1:9" ht="63.75" x14ac:dyDescent="0.2">
      <c r="A873" s="2" t="s">
        <v>45</v>
      </c>
      <c r="B873" s="2" t="s">
        <v>37</v>
      </c>
      <c r="C873" s="20">
        <v>42776.743159722224</v>
      </c>
      <c r="D873" s="2" t="s">
        <v>6</v>
      </c>
      <c r="E873" s="2" t="s">
        <v>36</v>
      </c>
      <c r="F873" s="20">
        <v>42776.753993055558</v>
      </c>
      <c r="G873" s="20"/>
      <c r="H873" s="20"/>
      <c r="I873">
        <v>873</v>
      </c>
    </row>
    <row r="874" spans="1:9" ht="25.5" x14ac:dyDescent="0.2">
      <c r="A874" s="2" t="s">
        <v>44</v>
      </c>
      <c r="B874" s="2" t="s">
        <v>37</v>
      </c>
      <c r="C874" s="20">
        <v>42776.771655092591</v>
      </c>
      <c r="D874" s="2" t="s">
        <v>5</v>
      </c>
      <c r="E874" s="2" t="s">
        <v>40</v>
      </c>
      <c r="F874" s="20">
        <v>42776.771678240744</v>
      </c>
      <c r="G874" s="20"/>
      <c r="H874" s="20"/>
      <c r="I874">
        <v>874</v>
      </c>
    </row>
    <row r="875" spans="1:9" ht="25.5" x14ac:dyDescent="0.2">
      <c r="A875" s="2" t="s">
        <v>44</v>
      </c>
      <c r="B875" s="2" t="s">
        <v>37</v>
      </c>
      <c r="C875" s="20">
        <v>42776.771655092591</v>
      </c>
      <c r="D875" s="2" t="s">
        <v>5</v>
      </c>
      <c r="E875" s="2" t="s">
        <v>39</v>
      </c>
      <c r="F875" s="20">
        <v>42776.774814814817</v>
      </c>
      <c r="G875" s="20"/>
      <c r="H875" s="20"/>
      <c r="I875">
        <v>875</v>
      </c>
    </row>
    <row r="876" spans="1:9" ht="63.75" x14ac:dyDescent="0.2">
      <c r="A876" s="2" t="s">
        <v>44</v>
      </c>
      <c r="B876" s="2" t="s">
        <v>37</v>
      </c>
      <c r="C876" s="20">
        <v>42776.771655092591</v>
      </c>
      <c r="D876" s="2" t="s">
        <v>6</v>
      </c>
      <c r="E876" s="2" t="s">
        <v>43</v>
      </c>
      <c r="F876" s="20">
        <v>42776.774814814817</v>
      </c>
      <c r="G876" s="20"/>
      <c r="H876" s="20"/>
      <c r="I876">
        <v>876</v>
      </c>
    </row>
    <row r="877" spans="1:9" ht="25.5" x14ac:dyDescent="0.2">
      <c r="A877" s="2" t="s">
        <v>42</v>
      </c>
      <c r="B877" s="2" t="s">
        <v>37</v>
      </c>
      <c r="C877" s="20">
        <v>42776.783865740741</v>
      </c>
      <c r="D877" s="2" t="s">
        <v>5</v>
      </c>
      <c r="E877" s="2" t="s">
        <v>40</v>
      </c>
      <c r="F877" s="20">
        <v>42776.78398148148</v>
      </c>
      <c r="G877" s="20"/>
      <c r="H877" s="20"/>
      <c r="I877">
        <v>877</v>
      </c>
    </row>
    <row r="878" spans="1:9" ht="25.5" x14ac:dyDescent="0.2">
      <c r="A878" s="2" t="s">
        <v>42</v>
      </c>
      <c r="B878" s="2" t="s">
        <v>37</v>
      </c>
      <c r="C878" s="20">
        <v>42776.783865740741</v>
      </c>
      <c r="D878" s="2" t="s">
        <v>5</v>
      </c>
      <c r="E878" s="2" t="s">
        <v>39</v>
      </c>
      <c r="F878" s="20">
        <v>42776.790902777779</v>
      </c>
      <c r="G878" s="20"/>
      <c r="H878" s="20"/>
      <c r="I878">
        <v>878</v>
      </c>
    </row>
    <row r="879" spans="1:9" ht="63.75" x14ac:dyDescent="0.2">
      <c r="A879" s="2" t="s">
        <v>42</v>
      </c>
      <c r="B879" s="2" t="s">
        <v>37</v>
      </c>
      <c r="C879" s="20">
        <v>42776.783865740741</v>
      </c>
      <c r="D879" s="2" t="s">
        <v>6</v>
      </c>
      <c r="E879" s="2" t="s">
        <v>41</v>
      </c>
      <c r="F879" s="20">
        <v>42776.790902777779</v>
      </c>
      <c r="G879" s="20"/>
      <c r="H879" s="20"/>
      <c r="I879">
        <v>879</v>
      </c>
    </row>
    <row r="880" spans="1:9" ht="25.5" x14ac:dyDescent="0.2">
      <c r="A880" s="2" t="s">
        <v>38</v>
      </c>
      <c r="B880" s="2" t="s">
        <v>37</v>
      </c>
      <c r="C880" s="20">
        <v>42776.79178240741</v>
      </c>
      <c r="D880" s="2" t="s">
        <v>5</v>
      </c>
      <c r="E880" s="2" t="s">
        <v>40</v>
      </c>
      <c r="F880" s="20">
        <v>42776.79178240741</v>
      </c>
      <c r="G880" s="20"/>
      <c r="H880" s="20"/>
      <c r="I880">
        <v>880</v>
      </c>
    </row>
    <row r="881" spans="1:9" ht="25.5" x14ac:dyDescent="0.2">
      <c r="A881" s="2" t="s">
        <v>38</v>
      </c>
      <c r="B881" s="2" t="s">
        <v>37</v>
      </c>
      <c r="C881" s="20">
        <v>42776.79178240741</v>
      </c>
      <c r="D881" s="2" t="s">
        <v>5</v>
      </c>
      <c r="E881" s="2" t="s">
        <v>39</v>
      </c>
      <c r="F881" s="20">
        <v>42776.792256944442</v>
      </c>
      <c r="G881" s="20"/>
      <c r="H881" s="20"/>
      <c r="I881">
        <v>881</v>
      </c>
    </row>
    <row r="882" spans="1:9" ht="63.75" x14ac:dyDescent="0.2">
      <c r="A882" s="2" t="s">
        <v>38</v>
      </c>
      <c r="B882" s="2" t="s">
        <v>37</v>
      </c>
      <c r="C882" s="20">
        <v>42776.79178240741</v>
      </c>
      <c r="D882" s="2" t="s">
        <v>6</v>
      </c>
      <c r="E882" s="2" t="s">
        <v>36</v>
      </c>
      <c r="F882" s="20">
        <v>42776.792731481481</v>
      </c>
      <c r="G882" s="20"/>
      <c r="H882" s="20"/>
      <c r="I882">
        <v>882</v>
      </c>
    </row>
    <row r="883" spans="1:9" x14ac:dyDescent="0.2">
      <c r="I883">
        <v>883</v>
      </c>
    </row>
  </sheetData>
  <pageMargins left="0.75" right="0.75" top="1" bottom="1" header="0.5" footer="0.5"/>
  <pageSetup orientation="portrait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V87"/>
  <sheetViews>
    <sheetView tabSelected="1" topLeftCell="A64" zoomScale="70" zoomScaleNormal="70" workbookViewId="0">
      <selection activeCell="F92" sqref="F92"/>
    </sheetView>
  </sheetViews>
  <sheetFormatPr defaultRowHeight="12.75" x14ac:dyDescent="0.2"/>
  <cols>
    <col min="1" max="1" width="12.42578125" customWidth="1"/>
    <col min="2" max="2" width="12.140625" customWidth="1"/>
    <col min="4" max="4" width="10" customWidth="1"/>
    <col min="5" max="5" width="14.85546875" customWidth="1"/>
    <col min="7" max="7" width="19.7109375" bestFit="1" customWidth="1"/>
    <col min="8" max="8" width="13.5703125" customWidth="1"/>
    <col min="9" max="9" width="22.140625" customWidth="1"/>
    <col min="10" max="10" width="19.7109375" bestFit="1" customWidth="1"/>
    <col min="11" max="11" width="12" customWidth="1"/>
    <col min="12" max="12" width="22.85546875" customWidth="1"/>
    <col min="13" max="13" width="16.85546875" customWidth="1"/>
    <col min="14" max="14" width="19.28515625" customWidth="1"/>
    <col min="15" max="15" width="19.7109375" customWidth="1"/>
    <col min="17" max="17" width="17.7109375" style="13" customWidth="1"/>
    <col min="18" max="18" width="35.42578125" style="13" bestFit="1" customWidth="1"/>
    <col min="19" max="19" width="136.7109375" bestFit="1" customWidth="1"/>
  </cols>
  <sheetData>
    <row r="1" spans="1:19" ht="45" x14ac:dyDescent="0.2">
      <c r="A1" s="3" t="s">
        <v>0</v>
      </c>
      <c r="B1" s="3" t="s">
        <v>7</v>
      </c>
      <c r="C1" s="3" t="s">
        <v>1</v>
      </c>
      <c r="D1" s="3" t="s">
        <v>8</v>
      </c>
      <c r="E1" s="3" t="s">
        <v>9</v>
      </c>
      <c r="F1" s="3" t="s">
        <v>10</v>
      </c>
      <c r="G1" s="3" t="s">
        <v>2</v>
      </c>
      <c r="H1" s="3" t="s">
        <v>11</v>
      </c>
      <c r="I1" s="4" t="s">
        <v>12</v>
      </c>
      <c r="J1" s="4" t="s">
        <v>13</v>
      </c>
      <c r="K1" s="3" t="s">
        <v>14</v>
      </c>
      <c r="L1" s="4" t="s">
        <v>15</v>
      </c>
      <c r="M1" s="4" t="s">
        <v>16</v>
      </c>
      <c r="N1" s="4" t="s">
        <v>3</v>
      </c>
      <c r="O1" s="4" t="s">
        <v>4</v>
      </c>
      <c r="P1" s="5"/>
      <c r="Q1" s="11" t="s">
        <v>17</v>
      </c>
      <c r="R1" s="12" t="s">
        <v>18</v>
      </c>
    </row>
    <row r="2" spans="1:19" ht="25.5" x14ac:dyDescent="0.2">
      <c r="A2" s="2" t="s">
        <v>295</v>
      </c>
      <c r="C2" s="2" t="s">
        <v>37</v>
      </c>
      <c r="G2" s="20">
        <v>42263.496006944442</v>
      </c>
      <c r="H2" s="2" t="s">
        <v>5</v>
      </c>
      <c r="I2" s="2" t="s">
        <v>69</v>
      </c>
      <c r="J2" s="20">
        <v>42263.525173611109</v>
      </c>
      <c r="K2" t="s">
        <v>6</v>
      </c>
      <c r="L2" t="s">
        <v>266</v>
      </c>
      <c r="M2" s="9">
        <v>42263.537743055553</v>
      </c>
      <c r="N2" s="20"/>
      <c r="O2" s="20"/>
      <c r="Q2" s="13">
        <v>1.2569444443215616E-2</v>
      </c>
      <c r="S2" t="s">
        <v>304</v>
      </c>
    </row>
    <row r="3" spans="1:19" ht="25.5" x14ac:dyDescent="0.2">
      <c r="A3" s="2" t="s">
        <v>293</v>
      </c>
      <c r="C3" s="2" t="s">
        <v>37</v>
      </c>
      <c r="G3" s="20">
        <v>42352.477118055554</v>
      </c>
      <c r="H3" s="2" t="s">
        <v>5</v>
      </c>
      <c r="I3" s="2" t="s">
        <v>69</v>
      </c>
      <c r="J3" s="20">
        <v>42352.482245370367</v>
      </c>
      <c r="L3" t="s">
        <v>303</v>
      </c>
      <c r="N3" s="20"/>
      <c r="O3" s="20"/>
    </row>
    <row r="4" spans="1:19" ht="25.5" x14ac:dyDescent="0.2">
      <c r="A4" s="2" t="s">
        <v>292</v>
      </c>
      <c r="C4" s="2" t="s">
        <v>83</v>
      </c>
      <c r="G4" s="20">
        <v>42377.266238425924</v>
      </c>
      <c r="H4" s="2" t="s">
        <v>5</v>
      </c>
      <c r="I4" s="2" t="s">
        <v>69</v>
      </c>
      <c r="J4" s="20">
        <v>42377.269282407404</v>
      </c>
      <c r="L4" t="s">
        <v>303</v>
      </c>
      <c r="N4" s="20"/>
      <c r="O4" s="20"/>
    </row>
    <row r="5" spans="1:19" ht="25.5" x14ac:dyDescent="0.2">
      <c r="A5" s="2" t="s">
        <v>291</v>
      </c>
      <c r="C5" s="2" t="s">
        <v>37</v>
      </c>
      <c r="G5" s="20">
        <v>42391.488368055558</v>
      </c>
      <c r="H5" s="2" t="s">
        <v>5</v>
      </c>
      <c r="I5" s="2" t="s">
        <v>69</v>
      </c>
      <c r="J5" s="20">
        <v>42391.489074074074</v>
      </c>
      <c r="L5" t="s">
        <v>303</v>
      </c>
      <c r="N5" s="20"/>
      <c r="O5" s="20"/>
    </row>
    <row r="6" spans="1:19" ht="25.5" x14ac:dyDescent="0.2">
      <c r="A6" s="2" t="s">
        <v>290</v>
      </c>
      <c r="C6" s="2" t="s">
        <v>37</v>
      </c>
      <c r="G6" s="20">
        <v>42396.450509259259</v>
      </c>
      <c r="H6" s="2" t="s">
        <v>5</v>
      </c>
      <c r="I6" s="2" t="s">
        <v>69</v>
      </c>
      <c r="J6" s="20">
        <v>42396.459768518522</v>
      </c>
      <c r="L6" t="s">
        <v>303</v>
      </c>
      <c r="N6" s="20"/>
      <c r="O6" s="20"/>
    </row>
    <row r="7" spans="1:19" ht="25.5" x14ac:dyDescent="0.2">
      <c r="A7" s="2" t="s">
        <v>288</v>
      </c>
      <c r="C7" s="2" t="s">
        <v>37</v>
      </c>
      <c r="G7" s="20">
        <v>42406.554097222222</v>
      </c>
      <c r="H7" s="2" t="s">
        <v>5</v>
      </c>
      <c r="I7" s="2" t="s">
        <v>69</v>
      </c>
      <c r="J7" s="20">
        <v>42406.587685185186</v>
      </c>
      <c r="L7" t="s">
        <v>303</v>
      </c>
      <c r="N7" s="20">
        <v>42406.556539351855</v>
      </c>
      <c r="O7" s="20"/>
    </row>
    <row r="8" spans="1:19" ht="25.5" x14ac:dyDescent="0.2">
      <c r="A8" s="2" t="s">
        <v>287</v>
      </c>
      <c r="C8" s="2" t="s">
        <v>37</v>
      </c>
      <c r="G8" s="20">
        <v>42431.108217592591</v>
      </c>
      <c r="H8" s="2" t="s">
        <v>5</v>
      </c>
      <c r="I8" s="2" t="s">
        <v>69</v>
      </c>
      <c r="J8" s="20">
        <v>42431.445856481485</v>
      </c>
      <c r="L8" t="s">
        <v>303</v>
      </c>
      <c r="N8" s="20"/>
      <c r="O8" s="20"/>
    </row>
    <row r="9" spans="1:19" ht="25.5" x14ac:dyDescent="0.2">
      <c r="A9" s="2" t="s">
        <v>286</v>
      </c>
      <c r="C9" s="2" t="s">
        <v>37</v>
      </c>
      <c r="G9" s="20">
        <v>42445.057893518519</v>
      </c>
      <c r="H9" s="2" t="s">
        <v>5</v>
      </c>
      <c r="I9" s="2" t="s">
        <v>69</v>
      </c>
      <c r="J9" s="20">
        <v>42445.097025462965</v>
      </c>
      <c r="L9" t="s">
        <v>303</v>
      </c>
      <c r="N9" s="20"/>
      <c r="O9" s="20"/>
    </row>
    <row r="10" spans="1:19" ht="25.5" x14ac:dyDescent="0.2">
      <c r="A10" s="2" t="s">
        <v>280</v>
      </c>
      <c r="C10" s="2" t="s">
        <v>37</v>
      </c>
      <c r="G10" s="20">
        <v>42468.410231481481</v>
      </c>
      <c r="H10" s="2" t="s">
        <v>5</v>
      </c>
      <c r="I10" s="2" t="s">
        <v>69</v>
      </c>
      <c r="J10" s="20">
        <v>42468.411909722221</v>
      </c>
      <c r="L10" t="s">
        <v>303</v>
      </c>
      <c r="N10" s="20"/>
      <c r="O10" s="20"/>
    </row>
    <row r="11" spans="1:19" ht="25.5" x14ac:dyDescent="0.2">
      <c r="A11" s="2" t="s">
        <v>272</v>
      </c>
      <c r="C11" s="2" t="s">
        <v>37</v>
      </c>
      <c r="G11" s="20">
        <v>42489.438391203701</v>
      </c>
      <c r="H11" s="2" t="s">
        <v>5</v>
      </c>
      <c r="I11" s="2" t="s">
        <v>69</v>
      </c>
      <c r="J11" s="20">
        <v>42489.43891203704</v>
      </c>
      <c r="L11" t="s">
        <v>303</v>
      </c>
      <c r="N11" s="20"/>
      <c r="O11" s="20"/>
    </row>
    <row r="12" spans="1:19" ht="25.5" x14ac:dyDescent="0.2">
      <c r="A12" s="2" t="s">
        <v>268</v>
      </c>
      <c r="C12" s="2" t="s">
        <v>37</v>
      </c>
      <c r="G12" s="20">
        <v>42521.494409722225</v>
      </c>
      <c r="H12" s="2" t="s">
        <v>5</v>
      </c>
      <c r="I12" s="2" t="s">
        <v>69</v>
      </c>
      <c r="J12" s="20">
        <v>42521.644791666666</v>
      </c>
      <c r="K12" t="s">
        <v>6</v>
      </c>
      <c r="L12" t="s">
        <v>266</v>
      </c>
      <c r="M12" s="9">
        <v>42521.64565972222</v>
      </c>
      <c r="N12" s="20"/>
      <c r="O12" s="20"/>
      <c r="Q12" s="13">
        <v>8.6805555474711582E-4</v>
      </c>
      <c r="S12" t="s">
        <v>304</v>
      </c>
    </row>
    <row r="13" spans="1:19" ht="25.5" x14ac:dyDescent="0.2">
      <c r="A13" s="10" t="s">
        <v>265</v>
      </c>
      <c r="C13" s="2" t="s">
        <v>37</v>
      </c>
      <c r="G13" s="20">
        <v>42527.49690972222</v>
      </c>
      <c r="H13" s="2" t="s">
        <v>5</v>
      </c>
      <c r="I13" s="2" t="s">
        <v>69</v>
      </c>
      <c r="J13" s="20">
        <v>42527.500706018516</v>
      </c>
      <c r="K13" t="s">
        <v>6</v>
      </c>
      <c r="L13" t="s">
        <v>266</v>
      </c>
      <c r="M13" s="9">
        <v>42527.519918981481</v>
      </c>
      <c r="N13" s="20"/>
      <c r="O13" s="20"/>
      <c r="Q13" s="13">
        <v>1.9212962964957114E-2</v>
      </c>
      <c r="S13" t="s">
        <v>305</v>
      </c>
    </row>
    <row r="14" spans="1:19" ht="25.5" x14ac:dyDescent="0.2">
      <c r="A14" s="2" t="s">
        <v>261</v>
      </c>
      <c r="C14" s="2" t="s">
        <v>37</v>
      </c>
      <c r="G14" s="20">
        <v>42562.731226851851</v>
      </c>
      <c r="H14" s="2" t="s">
        <v>5</v>
      </c>
      <c r="I14" s="2" t="s">
        <v>69</v>
      </c>
      <c r="J14" s="20">
        <v>42563.515289351853</v>
      </c>
      <c r="K14" t="s">
        <v>6</v>
      </c>
      <c r="L14" t="s">
        <v>105</v>
      </c>
      <c r="M14" s="9">
        <v>42563.516111111108</v>
      </c>
      <c r="N14" s="20"/>
      <c r="O14" s="20"/>
      <c r="Q14" s="13">
        <v>8.2175925490446389E-4</v>
      </c>
      <c r="S14" t="s">
        <v>304</v>
      </c>
    </row>
    <row r="15" spans="1:19" ht="25.5" x14ac:dyDescent="0.2">
      <c r="A15" s="2" t="s">
        <v>259</v>
      </c>
      <c r="C15" s="2" t="s">
        <v>37</v>
      </c>
      <c r="G15" s="20">
        <v>42565.580069444448</v>
      </c>
      <c r="H15" s="2" t="s">
        <v>5</v>
      </c>
      <c r="I15" s="2" t="s">
        <v>69</v>
      </c>
      <c r="J15" s="20">
        <v>42565.589791666665</v>
      </c>
      <c r="L15" t="s">
        <v>303</v>
      </c>
      <c r="N15" s="20"/>
      <c r="O15" s="20"/>
    </row>
    <row r="16" spans="1:19" ht="25.5" x14ac:dyDescent="0.2">
      <c r="A16" s="2" t="s">
        <v>260</v>
      </c>
      <c r="C16" s="2" t="s">
        <v>37</v>
      </c>
      <c r="G16" s="20">
        <v>42565.532152777778</v>
      </c>
      <c r="H16" s="2" t="s">
        <v>5</v>
      </c>
      <c r="I16" s="2" t="s">
        <v>69</v>
      </c>
      <c r="J16" s="20">
        <v>42569.575925925928</v>
      </c>
      <c r="K16" t="s">
        <v>6</v>
      </c>
      <c r="L16" t="s">
        <v>105</v>
      </c>
      <c r="M16" s="9">
        <v>42569.593275462961</v>
      </c>
      <c r="N16" s="20"/>
      <c r="O16" s="20"/>
      <c r="Q16" s="13">
        <v>1.7349537032714579E-2</v>
      </c>
      <c r="S16" t="s">
        <v>304</v>
      </c>
    </row>
    <row r="17" spans="1:19" ht="25.5" x14ac:dyDescent="0.2">
      <c r="A17" s="2" t="s">
        <v>258</v>
      </c>
      <c r="C17" s="2" t="s">
        <v>37</v>
      </c>
      <c r="G17" s="20">
        <v>42569.71435185185</v>
      </c>
      <c r="H17" s="2" t="s">
        <v>5</v>
      </c>
      <c r="I17" s="2" t="s">
        <v>69</v>
      </c>
      <c r="J17" s="20">
        <v>42569.71770833333</v>
      </c>
      <c r="K17" t="s">
        <v>6</v>
      </c>
      <c r="L17" t="s">
        <v>105</v>
      </c>
      <c r="M17" s="9">
        <v>42570.412812499999</v>
      </c>
      <c r="N17" s="20"/>
      <c r="O17" s="20"/>
      <c r="Q17" s="13">
        <v>0.69510416666889796</v>
      </c>
      <c r="S17" t="s">
        <v>304</v>
      </c>
    </row>
    <row r="18" spans="1:19" ht="25.5" x14ac:dyDescent="0.2">
      <c r="A18" s="2" t="s">
        <v>252</v>
      </c>
      <c r="C18" s="2" t="s">
        <v>37</v>
      </c>
      <c r="G18" s="20">
        <v>42583.449861111112</v>
      </c>
      <c r="H18" s="2" t="s">
        <v>5</v>
      </c>
      <c r="I18" s="2" t="s">
        <v>69</v>
      </c>
      <c r="J18" s="20">
        <v>42583.455925925926</v>
      </c>
      <c r="K18" t="s">
        <v>6</v>
      </c>
      <c r="L18" t="s">
        <v>105</v>
      </c>
      <c r="M18" s="9">
        <v>42583.463333333333</v>
      </c>
      <c r="N18" s="20"/>
      <c r="O18" s="20"/>
      <c r="Q18" s="13">
        <v>7.4074074072996154E-3</v>
      </c>
      <c r="S18" t="s">
        <v>304</v>
      </c>
    </row>
    <row r="19" spans="1:19" ht="25.5" x14ac:dyDescent="0.2">
      <c r="A19" s="2" t="s">
        <v>248</v>
      </c>
      <c r="C19" s="2" t="s">
        <v>37</v>
      </c>
      <c r="G19" s="20">
        <v>42591.545046296298</v>
      </c>
      <c r="H19" s="2" t="s">
        <v>5</v>
      </c>
      <c r="I19" s="2" t="s">
        <v>69</v>
      </c>
      <c r="J19" s="20">
        <v>42591.552673611113</v>
      </c>
      <c r="K19" t="s">
        <v>6</v>
      </c>
      <c r="L19" t="s">
        <v>105</v>
      </c>
      <c r="M19" s="9">
        <v>42591.57508101852</v>
      </c>
      <c r="N19" s="20"/>
      <c r="O19" s="20"/>
      <c r="Q19" s="13">
        <v>2.2407407406717539E-2</v>
      </c>
      <c r="S19" t="s">
        <v>304</v>
      </c>
    </row>
    <row r="20" spans="1:19" ht="25.5" x14ac:dyDescent="0.2">
      <c r="A20" s="2" t="s">
        <v>239</v>
      </c>
      <c r="C20" s="2" t="s">
        <v>37</v>
      </c>
      <c r="G20" s="20">
        <v>42633.420949074076</v>
      </c>
      <c r="H20" s="2" t="s">
        <v>5</v>
      </c>
      <c r="I20" s="2" t="s">
        <v>69</v>
      </c>
      <c r="J20" s="20">
        <v>42633.437152777777</v>
      </c>
      <c r="K20" t="s">
        <v>6</v>
      </c>
      <c r="L20" t="s">
        <v>306</v>
      </c>
      <c r="M20" s="9" t="s">
        <v>307</v>
      </c>
      <c r="N20" s="20">
        <v>42639.616944444446</v>
      </c>
      <c r="O20" s="20"/>
      <c r="R20" s="13">
        <v>6.1712615740761976</v>
      </c>
      <c r="S20" s="43" t="s">
        <v>308</v>
      </c>
    </row>
    <row r="21" spans="1:19" ht="25.5" x14ac:dyDescent="0.2">
      <c r="A21" s="2" t="s">
        <v>230</v>
      </c>
      <c r="C21" s="2" t="s">
        <v>37</v>
      </c>
      <c r="G21" s="20">
        <v>42663.434999999998</v>
      </c>
      <c r="H21" s="2" t="s">
        <v>5</v>
      </c>
      <c r="I21" s="2" t="s">
        <v>69</v>
      </c>
      <c r="J21" s="20">
        <v>42663.439710648148</v>
      </c>
      <c r="K21" t="s">
        <v>6</v>
      </c>
      <c r="L21" t="s">
        <v>67</v>
      </c>
      <c r="M21" s="9">
        <v>42663.51871527778</v>
      </c>
      <c r="N21" s="20"/>
      <c r="O21" s="20"/>
      <c r="Q21" s="13">
        <v>7.9004629631526768E-2</v>
      </c>
      <c r="S21" t="s">
        <v>304</v>
      </c>
    </row>
    <row r="22" spans="1:19" ht="25.5" x14ac:dyDescent="0.2">
      <c r="A22" s="2" t="s">
        <v>228</v>
      </c>
      <c r="C22" s="2" t="s">
        <v>37</v>
      </c>
      <c r="G22" s="20">
        <v>42667.591215277775</v>
      </c>
      <c r="H22" s="2" t="s">
        <v>5</v>
      </c>
      <c r="I22" s="2" t="s">
        <v>69</v>
      </c>
      <c r="J22" s="20">
        <v>42667.608993055554</v>
      </c>
      <c r="K22" t="s">
        <v>6</v>
      </c>
      <c r="L22" t="s">
        <v>105</v>
      </c>
      <c r="M22" s="9">
        <v>42667.649409722224</v>
      </c>
      <c r="N22" s="20"/>
      <c r="O22" s="20"/>
      <c r="Q22" s="13">
        <v>4.0416666670353152E-2</v>
      </c>
      <c r="S22" t="s">
        <v>304</v>
      </c>
    </row>
    <row r="23" spans="1:19" ht="25.5" x14ac:dyDescent="0.2">
      <c r="A23" s="2" t="s">
        <v>227</v>
      </c>
      <c r="C23" s="2" t="s">
        <v>37</v>
      </c>
      <c r="G23" s="20">
        <v>42669.54042824074</v>
      </c>
      <c r="H23" s="2" t="s">
        <v>5</v>
      </c>
      <c r="I23" s="2" t="s">
        <v>69</v>
      </c>
      <c r="J23" s="20">
        <v>42669.541192129633</v>
      </c>
      <c r="K23" t="s">
        <v>6</v>
      </c>
      <c r="L23" t="s">
        <v>145</v>
      </c>
      <c r="M23" s="9">
        <v>42669.570972222224</v>
      </c>
      <c r="N23" s="20"/>
      <c r="O23" s="20"/>
      <c r="Q23" s="13">
        <v>2.9780092590954155E-2</v>
      </c>
      <c r="S23" t="s">
        <v>304</v>
      </c>
    </row>
    <row r="24" spans="1:19" ht="25.5" x14ac:dyDescent="0.2">
      <c r="A24" s="2" t="s">
        <v>225</v>
      </c>
      <c r="C24" s="2" t="s">
        <v>37</v>
      </c>
      <c r="G24" s="20">
        <v>42674.364745370367</v>
      </c>
      <c r="H24" s="2" t="s">
        <v>5</v>
      </c>
      <c r="I24" s="2" t="s">
        <v>69</v>
      </c>
      <c r="J24" s="20">
        <v>42674.368784722225</v>
      </c>
      <c r="K24" t="s">
        <v>6</v>
      </c>
      <c r="L24" t="s">
        <v>105</v>
      </c>
      <c r="M24" s="9">
        <v>42674.39298611111</v>
      </c>
      <c r="N24" s="20"/>
      <c r="O24" s="20"/>
      <c r="Q24" s="13">
        <v>2.4201388885558117E-2</v>
      </c>
      <c r="S24" t="s">
        <v>304</v>
      </c>
    </row>
    <row r="25" spans="1:19" ht="25.5" x14ac:dyDescent="0.2">
      <c r="A25" s="2" t="s">
        <v>223</v>
      </c>
      <c r="C25" s="2" t="s">
        <v>37</v>
      </c>
      <c r="G25" s="20">
        <v>42691.546643518515</v>
      </c>
      <c r="H25" s="2" t="s">
        <v>5</v>
      </c>
      <c r="I25" s="2" t="s">
        <v>69</v>
      </c>
      <c r="J25" s="20">
        <v>42691.547407407408</v>
      </c>
      <c r="K25" t="s">
        <v>6</v>
      </c>
      <c r="L25" t="s">
        <v>105</v>
      </c>
      <c r="M25" s="9">
        <v>42691.592604166668</v>
      </c>
      <c r="N25" s="20"/>
      <c r="O25" s="20"/>
      <c r="Q25" s="13">
        <v>4.5196759259852115E-2</v>
      </c>
      <c r="S25" t="s">
        <v>304</v>
      </c>
    </row>
    <row r="26" spans="1:19" ht="25.5" x14ac:dyDescent="0.2">
      <c r="A26" s="2" t="s">
        <v>215</v>
      </c>
      <c r="C26" s="2" t="s">
        <v>37</v>
      </c>
      <c r="G26" s="20">
        <v>42720.342789351853</v>
      </c>
      <c r="H26" s="2" t="s">
        <v>5</v>
      </c>
      <c r="I26" s="2" t="s">
        <v>69</v>
      </c>
      <c r="J26" s="20">
        <v>42720.42597222222</v>
      </c>
      <c r="K26" t="s">
        <v>6</v>
      </c>
      <c r="L26" t="s">
        <v>105</v>
      </c>
      <c r="M26" s="9">
        <v>42720.4299537037</v>
      </c>
      <c r="N26" s="20"/>
      <c r="O26" s="20"/>
      <c r="Q26" s="13">
        <v>3.9814814808778465E-3</v>
      </c>
      <c r="S26" t="s">
        <v>304</v>
      </c>
    </row>
    <row r="27" spans="1:19" ht="25.5" x14ac:dyDescent="0.2">
      <c r="A27" s="2" t="s">
        <v>205</v>
      </c>
      <c r="C27" s="2" t="s">
        <v>83</v>
      </c>
      <c r="G27" s="20">
        <v>42752.499710648146</v>
      </c>
      <c r="H27" s="2" t="s">
        <v>5</v>
      </c>
      <c r="I27" s="2" t="s">
        <v>69</v>
      </c>
      <c r="J27" s="20">
        <v>42752.501898148148</v>
      </c>
      <c r="K27" t="s">
        <v>6</v>
      </c>
      <c r="L27" t="s">
        <v>309</v>
      </c>
      <c r="M27" s="9" t="s">
        <v>311</v>
      </c>
      <c r="N27" s="20"/>
      <c r="O27" s="20"/>
      <c r="S27" t="s">
        <v>304</v>
      </c>
    </row>
    <row r="28" spans="1:19" ht="25.5" x14ac:dyDescent="0.2">
      <c r="A28" s="2" t="s">
        <v>199</v>
      </c>
      <c r="C28" s="2" t="s">
        <v>83</v>
      </c>
      <c r="G28" s="20">
        <v>42754.574849537035</v>
      </c>
      <c r="H28" s="2" t="s">
        <v>5</v>
      </c>
      <c r="I28" s="2" t="s">
        <v>69</v>
      </c>
      <c r="J28" s="20">
        <v>42754.613252314812</v>
      </c>
      <c r="K28" t="s">
        <v>6</v>
      </c>
      <c r="L28" t="s">
        <v>312</v>
      </c>
      <c r="M28" s="9" t="s">
        <v>313</v>
      </c>
      <c r="N28" s="20"/>
      <c r="O28" s="20"/>
      <c r="S28" s="43" t="s">
        <v>314</v>
      </c>
    </row>
    <row r="29" spans="1:19" ht="25.5" x14ac:dyDescent="0.2">
      <c r="A29" s="2" t="s">
        <v>207</v>
      </c>
      <c r="C29" s="2" t="s">
        <v>37</v>
      </c>
      <c r="G29" s="20">
        <v>42745.520543981482</v>
      </c>
      <c r="H29" s="2" t="s">
        <v>5</v>
      </c>
      <c r="I29" s="2" t="s">
        <v>69</v>
      </c>
      <c r="J29" s="20">
        <v>42758.461863425924</v>
      </c>
      <c r="K29" t="s">
        <v>6</v>
      </c>
      <c r="L29" t="s">
        <v>309</v>
      </c>
      <c r="M29" s="9" t="s">
        <v>310</v>
      </c>
      <c r="N29" s="20"/>
      <c r="O29" s="20"/>
      <c r="S29" s="43" t="s">
        <v>308</v>
      </c>
    </row>
    <row r="30" spans="1:19" ht="25.5" x14ac:dyDescent="0.2">
      <c r="A30" s="2" t="s">
        <v>197</v>
      </c>
      <c r="C30" s="2" t="s">
        <v>83</v>
      </c>
      <c r="G30" s="20">
        <v>42754.796215277776</v>
      </c>
      <c r="H30" s="2" t="s">
        <v>5</v>
      </c>
      <c r="I30" s="2" t="s">
        <v>69</v>
      </c>
      <c r="J30" s="20">
        <v>42758.693645833337</v>
      </c>
      <c r="K30" t="s">
        <v>6</v>
      </c>
      <c r="L30" t="s">
        <v>315</v>
      </c>
      <c r="M30" s="9" t="s">
        <v>316</v>
      </c>
      <c r="N30" s="20">
        <v>42761.541168981479</v>
      </c>
      <c r="O30" s="20"/>
      <c r="R30" s="13">
        <v>2.8421759259217652</v>
      </c>
      <c r="S30" s="43" t="s">
        <v>317</v>
      </c>
    </row>
    <row r="31" spans="1:19" ht="25.5" x14ac:dyDescent="0.2">
      <c r="A31" s="2" t="s">
        <v>189</v>
      </c>
      <c r="C31" s="2" t="s">
        <v>83</v>
      </c>
      <c r="G31" s="20">
        <v>42758.725856481484</v>
      </c>
      <c r="H31" s="2" t="s">
        <v>5</v>
      </c>
      <c r="I31" s="2" t="s">
        <v>69</v>
      </c>
      <c r="J31" s="20">
        <v>42758.73646990741</v>
      </c>
      <c r="K31" t="s">
        <v>6</v>
      </c>
      <c r="L31" t="s">
        <v>315</v>
      </c>
      <c r="M31" s="9" t="s">
        <v>318</v>
      </c>
      <c r="N31" s="20"/>
      <c r="O31" s="20"/>
      <c r="S31" s="43" t="s">
        <v>317</v>
      </c>
    </row>
    <row r="32" spans="1:19" ht="25.5" x14ac:dyDescent="0.2">
      <c r="A32" s="2" t="s">
        <v>192</v>
      </c>
      <c r="C32" s="2" t="s">
        <v>37</v>
      </c>
      <c r="G32" s="20">
        <v>42758.662361111114</v>
      </c>
      <c r="H32" s="2" t="s">
        <v>5</v>
      </c>
      <c r="I32" s="2" t="s">
        <v>69</v>
      </c>
      <c r="J32" s="20">
        <v>42759.459710648145</v>
      </c>
      <c r="K32" t="s">
        <v>6</v>
      </c>
      <c r="L32" t="s">
        <v>67</v>
      </c>
      <c r="M32" s="9">
        <v>42759.491678240738</v>
      </c>
      <c r="N32" s="20"/>
      <c r="O32" s="20"/>
      <c r="Q32" s="13">
        <v>3.1967592592991423E-2</v>
      </c>
      <c r="S32" s="43" t="s">
        <v>317</v>
      </c>
    </row>
    <row r="33" spans="1:19" ht="25.5" x14ac:dyDescent="0.2">
      <c r="A33" s="2" t="s">
        <v>185</v>
      </c>
      <c r="C33" s="2" t="s">
        <v>83</v>
      </c>
      <c r="G33" s="20">
        <v>42760.494085648148</v>
      </c>
      <c r="H33" s="2" t="s">
        <v>5</v>
      </c>
      <c r="I33" s="2" t="s">
        <v>69</v>
      </c>
      <c r="J33" s="20">
        <v>42760.495347222219</v>
      </c>
      <c r="K33" t="s">
        <v>6</v>
      </c>
      <c r="L33" t="s">
        <v>145</v>
      </c>
      <c r="M33" s="9">
        <v>42760.533854166664</v>
      </c>
      <c r="N33" s="20"/>
      <c r="O33" s="20"/>
      <c r="Q33" s="13">
        <v>3.8506944445543922E-2</v>
      </c>
      <c r="S33" t="s">
        <v>304</v>
      </c>
    </row>
    <row r="34" spans="1:19" ht="25.5" x14ac:dyDescent="0.2">
      <c r="A34" s="10" t="s">
        <v>179</v>
      </c>
      <c r="C34" s="2" t="s">
        <v>37</v>
      </c>
      <c r="G34" s="20">
        <v>42766.60659722222</v>
      </c>
      <c r="H34" s="2" t="s">
        <v>5</v>
      </c>
      <c r="I34" s="2" t="s">
        <v>69</v>
      </c>
      <c r="J34" s="20">
        <v>42766.668425925927</v>
      </c>
      <c r="K34" t="s">
        <v>6</v>
      </c>
      <c r="L34" t="s">
        <v>322</v>
      </c>
      <c r="M34" s="9" t="s">
        <v>323</v>
      </c>
      <c r="N34" s="20"/>
      <c r="O34" s="20"/>
      <c r="S34" t="s">
        <v>305</v>
      </c>
    </row>
    <row r="35" spans="1:19" ht="25.5" x14ac:dyDescent="0.2">
      <c r="A35" s="2" t="s">
        <v>177</v>
      </c>
      <c r="C35" s="2" t="s">
        <v>37</v>
      </c>
      <c r="G35" s="20">
        <v>42767.594988425924</v>
      </c>
      <c r="H35" s="2" t="s">
        <v>5</v>
      </c>
      <c r="I35" s="2" t="s">
        <v>69</v>
      </c>
      <c r="J35" s="20">
        <v>42767.721597222226</v>
      </c>
      <c r="K35" t="s">
        <v>6</v>
      </c>
      <c r="L35" t="s">
        <v>145</v>
      </c>
      <c r="M35" s="9">
        <v>42767.786296296297</v>
      </c>
      <c r="N35" s="20">
        <v>42767.598240740743</v>
      </c>
      <c r="O35" s="20"/>
      <c r="Q35" s="13">
        <v>6.4699074071540963E-2</v>
      </c>
      <c r="R35" s="13">
        <v>-0.18805555555445608</v>
      </c>
      <c r="S35" t="s">
        <v>304</v>
      </c>
    </row>
    <row r="36" spans="1:19" ht="25.5" x14ac:dyDescent="0.2">
      <c r="A36" s="2" t="s">
        <v>174</v>
      </c>
      <c r="C36" s="2" t="s">
        <v>37</v>
      </c>
      <c r="G36" s="20">
        <v>42768.402372685188</v>
      </c>
      <c r="H36" s="2" t="s">
        <v>5</v>
      </c>
      <c r="I36" s="2" t="s">
        <v>69</v>
      </c>
      <c r="J36" s="20">
        <v>42768.426516203705</v>
      </c>
      <c r="K36" t="s">
        <v>6</v>
      </c>
      <c r="L36" t="s">
        <v>67</v>
      </c>
      <c r="M36" s="9">
        <v>42768.438981481479</v>
      </c>
      <c r="N36" s="20">
        <v>42775.378229166665</v>
      </c>
      <c r="O36" s="20"/>
      <c r="Q36" s="13">
        <v>1.2465277774026617E-2</v>
      </c>
      <c r="R36" s="13">
        <v>6.9392476851862739</v>
      </c>
      <c r="S36" s="43" t="s">
        <v>317</v>
      </c>
    </row>
    <row r="37" spans="1:19" ht="25.5" x14ac:dyDescent="0.2">
      <c r="A37" s="2" t="s">
        <v>173</v>
      </c>
      <c r="C37" s="2" t="s">
        <v>37</v>
      </c>
      <c r="G37" s="20">
        <v>42768.42627314815</v>
      </c>
      <c r="H37" s="2" t="s">
        <v>5</v>
      </c>
      <c r="I37" s="2" t="s">
        <v>69</v>
      </c>
      <c r="J37" s="20">
        <v>42768.529398148145</v>
      </c>
      <c r="K37" t="s">
        <v>6</v>
      </c>
      <c r="L37" t="s">
        <v>306</v>
      </c>
      <c r="M37" s="9" t="s">
        <v>324</v>
      </c>
      <c r="N37" s="20">
        <v>42775.176006944443</v>
      </c>
      <c r="O37" s="20"/>
      <c r="R37" s="13">
        <v>6.6353703703716747</v>
      </c>
      <c r="S37" s="43" t="s">
        <v>308</v>
      </c>
    </row>
    <row r="38" spans="1:19" ht="25.5" x14ac:dyDescent="0.2">
      <c r="A38" s="2" t="s">
        <v>169</v>
      </c>
      <c r="C38" s="2" t="s">
        <v>83</v>
      </c>
      <c r="G38" s="20">
        <v>42768.648252314815</v>
      </c>
      <c r="H38" s="2" t="s">
        <v>5</v>
      </c>
      <c r="I38" s="2" t="s">
        <v>69</v>
      </c>
      <c r="J38" s="20">
        <v>42769.390347222223</v>
      </c>
      <c r="K38" t="s">
        <v>6</v>
      </c>
      <c r="L38" t="s">
        <v>105</v>
      </c>
      <c r="M38" s="9">
        <v>42769.391516203701</v>
      </c>
      <c r="N38" s="20"/>
      <c r="O38" s="20"/>
      <c r="Q38" s="13">
        <v>1.1689814782585017E-3</v>
      </c>
      <c r="S38" s="43" t="s">
        <v>326</v>
      </c>
    </row>
    <row r="39" spans="1:19" ht="25.5" x14ac:dyDescent="0.2">
      <c r="A39" s="2" t="s">
        <v>167</v>
      </c>
      <c r="C39" s="2" t="s">
        <v>37</v>
      </c>
      <c r="G39" s="20">
        <v>42769.659629629627</v>
      </c>
      <c r="H39" s="2" t="s">
        <v>5</v>
      </c>
      <c r="I39" s="2" t="s">
        <v>69</v>
      </c>
      <c r="J39" s="20">
        <v>42769.670752314814</v>
      </c>
      <c r="K39" t="s">
        <v>6</v>
      </c>
      <c r="L39" t="s">
        <v>105</v>
      </c>
      <c r="M39" s="9">
        <v>42769.674768518518</v>
      </c>
      <c r="N39" s="20"/>
      <c r="O39" s="20"/>
      <c r="Q39" s="13">
        <v>4.016203703940846E-3</v>
      </c>
      <c r="S39" s="43" t="s">
        <v>326</v>
      </c>
    </row>
    <row r="40" spans="1:19" ht="25.5" x14ac:dyDescent="0.2">
      <c r="A40" s="2" t="s">
        <v>166</v>
      </c>
      <c r="C40" s="2" t="s">
        <v>83</v>
      </c>
      <c r="G40" s="20">
        <v>42769.687106481484</v>
      </c>
      <c r="H40" s="2" t="s">
        <v>5</v>
      </c>
      <c r="I40" s="2" t="s">
        <v>69</v>
      </c>
      <c r="J40" s="20">
        <v>42769.719398148147</v>
      </c>
      <c r="K40" t="s">
        <v>6</v>
      </c>
      <c r="L40" t="s">
        <v>309</v>
      </c>
      <c r="M40" s="9" t="s">
        <v>327</v>
      </c>
      <c r="N40" s="20"/>
      <c r="O40" s="20"/>
      <c r="S40" s="43" t="s">
        <v>308</v>
      </c>
    </row>
    <row r="41" spans="1:19" ht="25.5" x14ac:dyDescent="0.2">
      <c r="A41" s="10" t="s">
        <v>164</v>
      </c>
      <c r="C41" s="2" t="s">
        <v>37</v>
      </c>
      <c r="G41" s="44">
        <v>42772.398958333331</v>
      </c>
      <c r="H41" s="2" t="s">
        <v>5</v>
      </c>
      <c r="I41" s="2" t="s">
        <v>69</v>
      </c>
      <c r="J41" s="20">
        <v>42772.401284722226</v>
      </c>
      <c r="K41" t="s">
        <v>6</v>
      </c>
      <c r="L41" t="s">
        <v>105</v>
      </c>
      <c r="M41" s="9">
        <v>42772.405613425923</v>
      </c>
      <c r="N41" s="20"/>
      <c r="O41" s="20"/>
      <c r="Q41" s="13">
        <v>4.3287036969559267E-3</v>
      </c>
      <c r="S41" t="s">
        <v>305</v>
      </c>
    </row>
    <row r="42" spans="1:19" ht="25.5" x14ac:dyDescent="0.2">
      <c r="A42" s="2" t="s">
        <v>170</v>
      </c>
      <c r="C42" s="2" t="s">
        <v>83</v>
      </c>
      <c r="G42" s="44">
        <v>42768.600393518522</v>
      </c>
      <c r="H42" s="2" t="s">
        <v>5</v>
      </c>
      <c r="I42" s="2" t="s">
        <v>69</v>
      </c>
      <c r="J42" s="20">
        <v>42772.432696759257</v>
      </c>
      <c r="K42" t="s">
        <v>6</v>
      </c>
      <c r="L42" t="s">
        <v>309</v>
      </c>
      <c r="M42" s="9" t="s">
        <v>325</v>
      </c>
      <c r="N42" s="20"/>
      <c r="O42" s="20"/>
      <c r="S42" s="43" t="s">
        <v>308</v>
      </c>
    </row>
    <row r="43" spans="1:19" ht="25.5" x14ac:dyDescent="0.2">
      <c r="A43" s="2" t="s">
        <v>162</v>
      </c>
      <c r="C43" s="2" t="s">
        <v>83</v>
      </c>
      <c r="G43" s="44">
        <v>42772.513680555552</v>
      </c>
      <c r="H43" s="2" t="s">
        <v>5</v>
      </c>
      <c r="I43" s="2" t="s">
        <v>69</v>
      </c>
      <c r="J43" s="20">
        <v>42772.563784722224</v>
      </c>
      <c r="K43" t="s">
        <v>6</v>
      </c>
      <c r="L43" t="s">
        <v>328</v>
      </c>
      <c r="M43" s="9" t="s">
        <v>329</v>
      </c>
      <c r="N43" s="20"/>
      <c r="O43" s="20"/>
      <c r="S43" s="43" t="s">
        <v>321</v>
      </c>
    </row>
    <row r="44" spans="1:19" ht="25.5" x14ac:dyDescent="0.2">
      <c r="A44" s="2" t="s">
        <v>160</v>
      </c>
      <c r="C44" s="2" t="s">
        <v>37</v>
      </c>
      <c r="G44" s="44">
        <v>42772.613171296296</v>
      </c>
      <c r="H44" s="2" t="s">
        <v>5</v>
      </c>
      <c r="I44" s="2" t="s">
        <v>69</v>
      </c>
      <c r="J44" s="20">
        <v>42772.614340277774</v>
      </c>
      <c r="K44" t="s">
        <v>6</v>
      </c>
      <c r="L44" t="s">
        <v>309</v>
      </c>
      <c r="M44" s="9" t="s">
        <v>330</v>
      </c>
      <c r="N44" s="20">
        <v>42774.74496527778</v>
      </c>
      <c r="O44" s="20"/>
      <c r="R44" s="13">
        <v>2.0111921296338551</v>
      </c>
      <c r="S44" s="43" t="s">
        <v>308</v>
      </c>
    </row>
    <row r="45" spans="1:19" ht="25.5" x14ac:dyDescent="0.2">
      <c r="A45" s="2" t="s">
        <v>159</v>
      </c>
      <c r="C45" s="2" t="s">
        <v>83</v>
      </c>
      <c r="G45" s="44">
        <v>42772.62358796296</v>
      </c>
      <c r="H45" s="2" t="s">
        <v>5</v>
      </c>
      <c r="I45" s="2" t="s">
        <v>69</v>
      </c>
      <c r="J45" s="20">
        <v>42772.632118055553</v>
      </c>
      <c r="K45" t="s">
        <v>6</v>
      </c>
      <c r="L45" t="s">
        <v>67</v>
      </c>
      <c r="M45" s="9">
        <v>42772.666747685187</v>
      </c>
      <c r="N45" s="20"/>
      <c r="O45" s="20"/>
      <c r="Q45" s="13">
        <v>3.4629629633855075E-2</v>
      </c>
      <c r="S45" s="43" t="s">
        <v>317</v>
      </c>
    </row>
    <row r="46" spans="1:19" ht="25.5" x14ac:dyDescent="0.2">
      <c r="A46" s="10" t="s">
        <v>147</v>
      </c>
      <c r="C46" s="2" t="s">
        <v>83</v>
      </c>
      <c r="G46" s="44">
        <v>42773.621493055558</v>
      </c>
      <c r="H46" s="2" t="s">
        <v>5</v>
      </c>
      <c r="I46" s="2" t="s">
        <v>69</v>
      </c>
      <c r="J46" s="20">
        <v>42773.630277777775</v>
      </c>
      <c r="K46" t="s">
        <v>6</v>
      </c>
      <c r="L46" t="s">
        <v>331</v>
      </c>
      <c r="M46" s="9" t="s">
        <v>332</v>
      </c>
      <c r="N46" s="20"/>
      <c r="O46" s="20"/>
      <c r="S46" s="43" t="s">
        <v>333</v>
      </c>
    </row>
    <row r="47" spans="1:19" ht="25.5" x14ac:dyDescent="0.2">
      <c r="A47" s="2" t="s">
        <v>143</v>
      </c>
      <c r="C47" s="2" t="s">
        <v>83</v>
      </c>
      <c r="G47" s="44">
        <v>42773.65892361111</v>
      </c>
      <c r="H47" s="2" t="s">
        <v>5</v>
      </c>
      <c r="I47" s="2" t="s">
        <v>69</v>
      </c>
      <c r="J47" s="20">
        <v>42773.666608796295</v>
      </c>
      <c r="K47" t="s">
        <v>6</v>
      </c>
      <c r="L47" t="s">
        <v>309</v>
      </c>
      <c r="M47" s="9" t="s">
        <v>334</v>
      </c>
      <c r="N47" s="20"/>
      <c r="O47" s="20"/>
      <c r="S47" s="43" t="s">
        <v>308</v>
      </c>
    </row>
    <row r="48" spans="1:19" ht="25.5" x14ac:dyDescent="0.2">
      <c r="A48" s="2" t="s">
        <v>141</v>
      </c>
      <c r="C48" s="2" t="s">
        <v>37</v>
      </c>
      <c r="G48" s="44">
        <v>42773.695972222224</v>
      </c>
      <c r="H48" s="2" t="s">
        <v>5</v>
      </c>
      <c r="I48" s="2" t="s">
        <v>69</v>
      </c>
      <c r="J48" s="20">
        <v>42773.707152777781</v>
      </c>
      <c r="K48" t="s">
        <v>6</v>
      </c>
      <c r="L48" t="s">
        <v>105</v>
      </c>
      <c r="M48" s="9">
        <v>42773.708703703705</v>
      </c>
      <c r="N48" s="20"/>
      <c r="O48" s="20"/>
      <c r="Q48" s="13">
        <v>1.5509259246755391E-3</v>
      </c>
      <c r="S48" s="43" t="s">
        <v>326</v>
      </c>
    </row>
    <row r="49" spans="1:19" ht="25.5" x14ac:dyDescent="0.2">
      <c r="A49" s="2" t="s">
        <v>140</v>
      </c>
      <c r="C49" s="2" t="s">
        <v>37</v>
      </c>
      <c r="G49" s="44">
        <v>42773.839918981481</v>
      </c>
      <c r="H49" s="2" t="s">
        <v>5</v>
      </c>
      <c r="I49" s="2" t="s">
        <v>69</v>
      </c>
      <c r="J49" s="20">
        <v>42774.348553240743</v>
      </c>
      <c r="K49" t="s">
        <v>6</v>
      </c>
      <c r="L49" t="s">
        <v>67</v>
      </c>
      <c r="M49" s="9">
        <v>42774.362175925926</v>
      </c>
      <c r="N49" s="20"/>
      <c r="O49" s="20"/>
      <c r="Q49" s="13">
        <v>1.3622685182781424E-2</v>
      </c>
      <c r="S49" s="43" t="s">
        <v>317</v>
      </c>
    </row>
    <row r="50" spans="1:19" ht="25.5" x14ac:dyDescent="0.2">
      <c r="A50" s="2" t="s">
        <v>138</v>
      </c>
      <c r="C50" s="2" t="s">
        <v>37</v>
      </c>
      <c r="G50" s="44">
        <v>42774.219340277778</v>
      </c>
      <c r="H50" s="2" t="s">
        <v>5</v>
      </c>
      <c r="I50" s="2" t="s">
        <v>69</v>
      </c>
      <c r="J50" s="20">
        <v>42774.354884259257</v>
      </c>
      <c r="K50" t="s">
        <v>6</v>
      </c>
      <c r="L50" t="s">
        <v>67</v>
      </c>
      <c r="M50" s="9">
        <v>42774.361944444441</v>
      </c>
      <c r="N50" s="20"/>
      <c r="O50" s="20"/>
      <c r="Q50" s="13">
        <v>7.0601851839455776E-3</v>
      </c>
      <c r="S50" s="43" t="s">
        <v>317</v>
      </c>
    </row>
    <row r="51" spans="1:19" ht="25.5" x14ac:dyDescent="0.2">
      <c r="A51" s="2" t="s">
        <v>137</v>
      </c>
      <c r="C51" s="2" t="s">
        <v>83</v>
      </c>
      <c r="G51" s="44">
        <v>42774.336921296293</v>
      </c>
      <c r="H51" s="2" t="s">
        <v>5</v>
      </c>
      <c r="I51" s="2" t="s">
        <v>69</v>
      </c>
      <c r="J51" s="20">
        <v>42774.358981481484</v>
      </c>
      <c r="K51" t="s">
        <v>6</v>
      </c>
      <c r="L51" t="s">
        <v>335</v>
      </c>
      <c r="M51" s="9" t="s">
        <v>336</v>
      </c>
      <c r="N51" s="20"/>
      <c r="O51" s="20"/>
      <c r="S51" s="43" t="s">
        <v>321</v>
      </c>
    </row>
    <row r="52" spans="1:19" ht="25.5" x14ac:dyDescent="0.2">
      <c r="A52" s="2" t="s">
        <v>129</v>
      </c>
      <c r="C52" s="2" t="s">
        <v>83</v>
      </c>
      <c r="G52" s="44">
        <v>42774.743379629632</v>
      </c>
      <c r="H52" s="2" t="s">
        <v>5</v>
      </c>
      <c r="I52" s="2" t="s">
        <v>69</v>
      </c>
      <c r="J52" s="20">
        <v>42774.746655092589</v>
      </c>
      <c r="K52" t="s">
        <v>6</v>
      </c>
      <c r="L52" t="s">
        <v>105</v>
      </c>
      <c r="M52" s="9">
        <v>42774.790914351855</v>
      </c>
      <c r="N52" s="20"/>
      <c r="O52" s="20"/>
      <c r="Q52" s="13">
        <v>4.4259259266254958E-2</v>
      </c>
      <c r="S52" s="43" t="s">
        <v>326</v>
      </c>
    </row>
    <row r="53" spans="1:19" ht="25.5" x14ac:dyDescent="0.2">
      <c r="A53" s="2" t="s">
        <v>128</v>
      </c>
      <c r="C53" s="2" t="s">
        <v>37</v>
      </c>
      <c r="G53" s="44">
        <v>42775.37054398148</v>
      </c>
      <c r="H53" s="2" t="s">
        <v>5</v>
      </c>
      <c r="I53" s="2" t="s">
        <v>69</v>
      </c>
      <c r="J53" s="20">
        <v>42775.376481481479</v>
      </c>
      <c r="K53" t="s">
        <v>6</v>
      </c>
      <c r="L53" t="s">
        <v>337</v>
      </c>
      <c r="M53" s="9" t="s">
        <v>338</v>
      </c>
      <c r="N53" s="20"/>
      <c r="O53" s="20"/>
      <c r="S53" s="43" t="s">
        <v>326</v>
      </c>
    </row>
    <row r="54" spans="1:19" ht="25.5" x14ac:dyDescent="0.2">
      <c r="A54" s="2" t="s">
        <v>121</v>
      </c>
      <c r="C54" s="2" t="s">
        <v>37</v>
      </c>
      <c r="G54" s="44">
        <v>42775.425416666665</v>
      </c>
      <c r="H54" s="2" t="s">
        <v>5</v>
      </c>
      <c r="I54" s="2" t="s">
        <v>69</v>
      </c>
      <c r="J54" s="20">
        <v>42775.469849537039</v>
      </c>
      <c r="K54" t="s">
        <v>6</v>
      </c>
      <c r="L54" t="s">
        <v>105</v>
      </c>
      <c r="M54" s="9">
        <v>42775.47215277778</v>
      </c>
      <c r="N54" s="20"/>
      <c r="O54" s="20"/>
      <c r="Q54" s="13">
        <v>2.3032407407299615E-3</v>
      </c>
      <c r="S54" s="43" t="s">
        <v>326</v>
      </c>
    </row>
    <row r="55" spans="1:19" ht="25.5" x14ac:dyDescent="0.2">
      <c r="A55" s="2" t="s">
        <v>119</v>
      </c>
      <c r="C55" s="2" t="s">
        <v>37</v>
      </c>
      <c r="G55" s="44">
        <v>42775.454594907409</v>
      </c>
      <c r="H55" s="2" t="s">
        <v>5</v>
      </c>
      <c r="I55" s="2" t="s">
        <v>69</v>
      </c>
      <c r="J55" s="20">
        <v>42775.48300925926</v>
      </c>
      <c r="K55" t="s">
        <v>6</v>
      </c>
      <c r="L55" t="s">
        <v>67</v>
      </c>
      <c r="M55" s="9">
        <v>42775.54011574074</v>
      </c>
      <c r="N55" s="20"/>
      <c r="O55" s="20"/>
      <c r="Q55" s="13">
        <v>5.7106481479422655E-2</v>
      </c>
      <c r="S55" s="43" t="s">
        <v>317</v>
      </c>
    </row>
    <row r="56" spans="1:19" ht="25.5" x14ac:dyDescent="0.2">
      <c r="A56" s="2" t="s">
        <v>111</v>
      </c>
      <c r="C56" s="2" t="s">
        <v>37</v>
      </c>
      <c r="G56" s="44">
        <v>42775.508784722224</v>
      </c>
      <c r="H56" s="2" t="s">
        <v>5</v>
      </c>
      <c r="I56" s="2" t="s">
        <v>69</v>
      </c>
      <c r="J56" s="20">
        <v>42775.520925925928</v>
      </c>
      <c r="K56" t="s">
        <v>6</v>
      </c>
      <c r="L56" t="s">
        <v>67</v>
      </c>
      <c r="M56" s="9">
        <v>42775.540046296293</v>
      </c>
      <c r="N56" s="20"/>
      <c r="O56" s="20"/>
      <c r="Q56" s="13">
        <v>1.912037036527181E-2</v>
      </c>
      <c r="S56" s="43" t="s">
        <v>317</v>
      </c>
    </row>
    <row r="57" spans="1:19" ht="25.5" x14ac:dyDescent="0.2">
      <c r="A57" s="2" t="s">
        <v>109</v>
      </c>
      <c r="C57" s="2" t="s">
        <v>37</v>
      </c>
      <c r="G57" s="44">
        <v>42775.554502314815</v>
      </c>
      <c r="H57" s="2" t="s">
        <v>5</v>
      </c>
      <c r="I57" s="2" t="s">
        <v>69</v>
      </c>
      <c r="J57" s="20">
        <v>42775.568101851852</v>
      </c>
      <c r="K57" t="s">
        <v>6</v>
      </c>
      <c r="L57" t="s">
        <v>67</v>
      </c>
      <c r="M57" s="9">
        <v>42775.574895833335</v>
      </c>
      <c r="N57" s="20"/>
      <c r="O57" s="20"/>
      <c r="Q57" s="13">
        <v>6.7939814834971912E-3</v>
      </c>
      <c r="S57" s="43" t="s">
        <v>317</v>
      </c>
    </row>
    <row r="58" spans="1:19" ht="25.5" x14ac:dyDescent="0.2">
      <c r="A58" s="2" t="s">
        <v>184</v>
      </c>
      <c r="C58" s="2" t="s">
        <v>83</v>
      </c>
      <c r="G58" s="44">
        <v>42761.373159722221</v>
      </c>
      <c r="H58" s="2" t="s">
        <v>5</v>
      </c>
      <c r="I58" s="2" t="s">
        <v>69</v>
      </c>
      <c r="J58" s="20">
        <v>42775.634641203702</v>
      </c>
      <c r="K58" t="s">
        <v>5</v>
      </c>
      <c r="L58" t="s">
        <v>319</v>
      </c>
      <c r="M58" s="9" t="s">
        <v>320</v>
      </c>
      <c r="N58" s="20"/>
      <c r="O58" s="20"/>
      <c r="S58" s="43" t="s">
        <v>321</v>
      </c>
    </row>
    <row r="59" spans="1:19" ht="25.5" x14ac:dyDescent="0.2">
      <c r="A59" s="2" t="s">
        <v>107</v>
      </c>
      <c r="C59" s="2" t="s">
        <v>37</v>
      </c>
      <c r="G59" s="44">
        <v>42775.612395833334</v>
      </c>
      <c r="H59" s="2" t="s">
        <v>5</v>
      </c>
      <c r="I59" s="2" t="s">
        <v>69</v>
      </c>
      <c r="J59" s="20">
        <v>42775.636701388888</v>
      </c>
      <c r="K59" t="s">
        <v>6</v>
      </c>
      <c r="L59" t="s">
        <v>105</v>
      </c>
      <c r="M59" s="9">
        <v>42775.644988425927</v>
      </c>
      <c r="N59" s="20"/>
      <c r="O59" s="20"/>
      <c r="Q59" s="13">
        <v>8.2870370388263837E-3</v>
      </c>
      <c r="S59" s="43" t="s">
        <v>326</v>
      </c>
    </row>
    <row r="60" spans="1:19" ht="25.5" x14ac:dyDescent="0.2">
      <c r="A60" s="2" t="s">
        <v>106</v>
      </c>
      <c r="C60" s="2" t="s">
        <v>37</v>
      </c>
      <c r="G60" s="44">
        <v>42775.634050925924</v>
      </c>
      <c r="H60" s="2" t="s">
        <v>5</v>
      </c>
      <c r="I60" s="2" t="s">
        <v>69</v>
      </c>
      <c r="J60" s="20">
        <v>42775.642893518518</v>
      </c>
      <c r="K60" t="s">
        <v>6</v>
      </c>
      <c r="L60" t="s">
        <v>105</v>
      </c>
      <c r="M60" s="9">
        <v>42775.645104166666</v>
      </c>
      <c r="N60" s="20"/>
      <c r="O60" s="20"/>
      <c r="Q60" s="13">
        <v>2.2106481483206153E-3</v>
      </c>
      <c r="S60" s="43" t="s">
        <v>326</v>
      </c>
    </row>
    <row r="61" spans="1:19" ht="25.5" x14ac:dyDescent="0.2">
      <c r="A61" s="2" t="s">
        <v>100</v>
      </c>
      <c r="C61" s="2" t="s">
        <v>37</v>
      </c>
      <c r="G61" s="44">
        <v>42775.656006944446</v>
      </c>
      <c r="H61" s="2" t="s">
        <v>5</v>
      </c>
      <c r="I61" s="2" t="s">
        <v>69</v>
      </c>
      <c r="J61" s="20">
        <v>42775.710231481484</v>
      </c>
      <c r="K61" t="s">
        <v>6</v>
      </c>
      <c r="L61" t="s">
        <v>85</v>
      </c>
      <c r="M61" s="9">
        <v>42775.786122685182</v>
      </c>
      <c r="N61" s="20"/>
      <c r="O61" s="20"/>
      <c r="Q61" s="13">
        <v>7.589120369812008E-2</v>
      </c>
      <c r="S61" s="43" t="s">
        <v>321</v>
      </c>
    </row>
    <row r="62" spans="1:19" ht="25.5" x14ac:dyDescent="0.2">
      <c r="A62" s="2" t="s">
        <v>95</v>
      </c>
      <c r="C62" s="2" t="s">
        <v>37</v>
      </c>
      <c r="G62" s="44">
        <v>42775.74832175926</v>
      </c>
      <c r="H62" s="2" t="s">
        <v>5</v>
      </c>
      <c r="I62" s="2" t="s">
        <v>69</v>
      </c>
      <c r="J62" s="20">
        <v>42775.762789351851</v>
      </c>
      <c r="K62" t="s">
        <v>6</v>
      </c>
      <c r="L62" t="s">
        <v>67</v>
      </c>
      <c r="M62" s="9">
        <v>42775.786585648151</v>
      </c>
      <c r="N62" s="20"/>
      <c r="O62" s="20"/>
      <c r="Q62" s="13">
        <v>2.379629630013369E-2</v>
      </c>
      <c r="S62" s="43" t="s">
        <v>317</v>
      </c>
    </row>
    <row r="63" spans="1:19" ht="25.5" x14ac:dyDescent="0.2">
      <c r="A63" s="2" t="s">
        <v>94</v>
      </c>
      <c r="C63" s="2" t="s">
        <v>37</v>
      </c>
      <c r="G63" s="44">
        <v>42775.771655092591</v>
      </c>
      <c r="H63" s="2" t="s">
        <v>5</v>
      </c>
      <c r="I63" s="2" t="s">
        <v>69</v>
      </c>
      <c r="J63" s="20">
        <v>42775.780624999999</v>
      </c>
      <c r="K63" t="s">
        <v>6</v>
      </c>
      <c r="L63" t="s">
        <v>85</v>
      </c>
      <c r="M63" s="9">
        <v>42775.787048611113</v>
      </c>
      <c r="N63" s="20"/>
      <c r="O63" s="20"/>
      <c r="Q63" s="13">
        <v>6.4236111138598062E-3</v>
      </c>
      <c r="S63" s="43" t="s">
        <v>321</v>
      </c>
    </row>
    <row r="64" spans="1:19" ht="25.5" x14ac:dyDescent="0.2">
      <c r="A64" s="2" t="s">
        <v>161</v>
      </c>
      <c r="C64" s="2" t="s">
        <v>83</v>
      </c>
      <c r="G64" s="44">
        <v>42772.552928240744</v>
      </c>
      <c r="H64" s="2" t="s">
        <v>5</v>
      </c>
      <c r="I64" s="2" t="s">
        <v>69</v>
      </c>
      <c r="J64" s="20">
        <v>42776.359618055554</v>
      </c>
      <c r="K64" t="s">
        <v>6</v>
      </c>
      <c r="L64" t="s">
        <v>67</v>
      </c>
      <c r="M64" s="9">
        <v>42776.381377314814</v>
      </c>
      <c r="N64" s="20"/>
      <c r="O64" s="20"/>
      <c r="Q64" s="13">
        <v>2.1759259259852115E-2</v>
      </c>
      <c r="S64" s="43" t="s">
        <v>317</v>
      </c>
    </row>
    <row r="65" spans="1:28" ht="25.5" x14ac:dyDescent="0.2">
      <c r="A65" s="10" t="s">
        <v>91</v>
      </c>
      <c r="C65" s="2" t="s">
        <v>37</v>
      </c>
      <c r="G65" s="44">
        <v>42776.426099537035</v>
      </c>
      <c r="H65" s="2" t="s">
        <v>5</v>
      </c>
      <c r="I65" s="2" t="s">
        <v>69</v>
      </c>
      <c r="J65" s="20">
        <v>42776.445104166669</v>
      </c>
      <c r="K65" t="s">
        <v>6</v>
      </c>
      <c r="L65" t="s">
        <v>339</v>
      </c>
      <c r="M65" s="9" t="s">
        <v>340</v>
      </c>
      <c r="N65" s="20"/>
      <c r="O65" s="20"/>
      <c r="S65" s="43" t="s">
        <v>341</v>
      </c>
    </row>
    <row r="66" spans="1:28" ht="25.5" x14ac:dyDescent="0.2">
      <c r="A66" s="2" t="s">
        <v>84</v>
      </c>
      <c r="C66" s="2" t="s">
        <v>83</v>
      </c>
      <c r="G66" s="44">
        <v>42776.446747685186</v>
      </c>
      <c r="H66" s="2" t="s">
        <v>5</v>
      </c>
      <c r="I66" s="2" t="s">
        <v>69</v>
      </c>
      <c r="J66" s="20">
        <v>42776.453344907408</v>
      </c>
      <c r="K66" t="s">
        <v>6</v>
      </c>
      <c r="L66" t="s">
        <v>67</v>
      </c>
      <c r="M66" s="9">
        <v>42776.553993055553</v>
      </c>
      <c r="N66" s="20"/>
      <c r="O66" s="20"/>
      <c r="Q66" s="13">
        <v>0.10064814814541023</v>
      </c>
      <c r="S66" s="43" t="s">
        <v>317</v>
      </c>
    </row>
    <row r="67" spans="1:28" ht="25.5" x14ac:dyDescent="0.2">
      <c r="A67" s="2" t="s">
        <v>82</v>
      </c>
      <c r="C67" s="2" t="s">
        <v>37</v>
      </c>
      <c r="G67" s="44">
        <v>42776.45349537037</v>
      </c>
      <c r="H67" s="2" t="s">
        <v>5</v>
      </c>
      <c r="I67" s="2" t="s">
        <v>69</v>
      </c>
      <c r="J67" s="20">
        <v>42776.457881944443</v>
      </c>
      <c r="K67" t="s">
        <v>6</v>
      </c>
      <c r="L67" t="s">
        <v>67</v>
      </c>
      <c r="M67" s="9">
        <v>42776.554108796299</v>
      </c>
      <c r="N67" s="20"/>
      <c r="O67" s="20"/>
      <c r="Q67" s="13">
        <v>9.6226851856044959E-2</v>
      </c>
      <c r="S67" s="43" t="s">
        <v>317</v>
      </c>
    </row>
    <row r="68" spans="1:28" ht="25.5" x14ac:dyDescent="0.2">
      <c r="A68" s="2" t="s">
        <v>112</v>
      </c>
      <c r="C68" s="2" t="s">
        <v>37</v>
      </c>
      <c r="G68" s="44">
        <v>42775.501759259256</v>
      </c>
      <c r="H68" s="2" t="s">
        <v>5</v>
      </c>
      <c r="I68" s="2" t="s">
        <v>69</v>
      </c>
      <c r="J68" s="20">
        <v>42776.477962962963</v>
      </c>
      <c r="K68" t="s">
        <v>6</v>
      </c>
      <c r="L68" t="s">
        <v>67</v>
      </c>
      <c r="M68" s="9">
        <v>42776.554236111115</v>
      </c>
      <c r="N68" s="20"/>
      <c r="O68" s="20"/>
      <c r="Q68" s="13">
        <v>7.6273148151813075E-2</v>
      </c>
      <c r="S68" s="43" t="s">
        <v>317</v>
      </c>
    </row>
    <row r="69" spans="1:28" ht="25.5" x14ac:dyDescent="0.2">
      <c r="A69" s="2" t="s">
        <v>76</v>
      </c>
      <c r="C69" s="2" t="s">
        <v>37</v>
      </c>
      <c r="G69" s="44">
        <v>42776.508356481485</v>
      </c>
      <c r="H69" s="2" t="s">
        <v>5</v>
      </c>
      <c r="I69" s="2" t="s">
        <v>69</v>
      </c>
      <c r="J69" s="20">
        <v>42776.515069444446</v>
      </c>
      <c r="K69" t="s">
        <v>6</v>
      </c>
      <c r="L69" t="s">
        <v>67</v>
      </c>
      <c r="M69" s="9">
        <v>42776.517442129632</v>
      </c>
      <c r="N69" s="20"/>
      <c r="O69" s="20"/>
      <c r="Q69" s="13">
        <v>2.3726851868559606E-3</v>
      </c>
      <c r="S69" s="43" t="s">
        <v>317</v>
      </c>
    </row>
    <row r="70" spans="1:28" ht="25.5" x14ac:dyDescent="0.2">
      <c r="A70" s="2" t="s">
        <v>79</v>
      </c>
      <c r="C70" s="2" t="s">
        <v>37</v>
      </c>
      <c r="G70" s="44">
        <v>42776.484988425924</v>
      </c>
      <c r="H70" s="2" t="s">
        <v>5</v>
      </c>
      <c r="I70" s="2" t="s">
        <v>69</v>
      </c>
      <c r="J70" s="20">
        <v>42776.549560185187</v>
      </c>
      <c r="K70" t="s">
        <v>6</v>
      </c>
      <c r="L70" t="s">
        <v>67</v>
      </c>
      <c r="M70" s="9">
        <v>42776.554224537038</v>
      </c>
      <c r="N70" s="20"/>
      <c r="O70" s="20"/>
      <c r="Q70" s="13">
        <v>4.6643518508062698E-3</v>
      </c>
      <c r="S70" s="43" t="s">
        <v>317</v>
      </c>
    </row>
    <row r="71" spans="1:28" ht="25.5" x14ac:dyDescent="0.2">
      <c r="A71" s="2" t="s">
        <v>98</v>
      </c>
      <c r="C71" s="2" t="s">
        <v>37</v>
      </c>
      <c r="G71" s="44">
        <v>42775.669583333336</v>
      </c>
      <c r="H71" s="2" t="s">
        <v>5</v>
      </c>
      <c r="I71" s="2" t="s">
        <v>69</v>
      </c>
      <c r="J71" s="20">
        <v>42776.609953703701</v>
      </c>
      <c r="K71" t="s">
        <v>6</v>
      </c>
      <c r="L71" t="s">
        <v>67</v>
      </c>
      <c r="M71" s="9">
        <v>42776.654907407406</v>
      </c>
      <c r="N71" s="20"/>
      <c r="O71" s="20"/>
      <c r="Q71" s="13">
        <v>4.4953703705687076E-2</v>
      </c>
      <c r="S71" s="43" t="s">
        <v>317</v>
      </c>
    </row>
    <row r="72" spans="1:28" ht="25.5" x14ac:dyDescent="0.2">
      <c r="A72" s="2" t="s">
        <v>68</v>
      </c>
      <c r="C72" s="2" t="s">
        <v>37</v>
      </c>
      <c r="G72" s="44">
        <v>42776.593611111108</v>
      </c>
      <c r="H72" s="2" t="s">
        <v>5</v>
      </c>
      <c r="I72" s="2" t="s">
        <v>69</v>
      </c>
      <c r="J72" s="20">
        <v>42776.666493055556</v>
      </c>
      <c r="K72" t="s">
        <v>6</v>
      </c>
      <c r="L72" t="s">
        <v>67</v>
      </c>
      <c r="M72" s="9">
        <v>42776.714942129627</v>
      </c>
      <c r="N72" s="20">
        <v>42776.607986111114</v>
      </c>
      <c r="O72" s="20"/>
      <c r="Q72" s="13">
        <v>4.8449074070958886E-2</v>
      </c>
      <c r="R72" s="13">
        <v>-0.10695601851330139</v>
      </c>
      <c r="S72" s="43" t="s">
        <v>317</v>
      </c>
    </row>
    <row r="73" spans="1:28" ht="25.5" x14ac:dyDescent="0.2">
      <c r="A73" s="2" t="s">
        <v>86</v>
      </c>
      <c r="C73" s="2" t="s">
        <v>37</v>
      </c>
      <c r="G73" s="44">
        <v>42776.44253472222</v>
      </c>
      <c r="H73" s="2" t="s">
        <v>5</v>
      </c>
      <c r="I73" s="2" t="s">
        <v>69</v>
      </c>
      <c r="J73" s="20">
        <v>42776.66684027778</v>
      </c>
      <c r="K73" t="s">
        <v>6</v>
      </c>
      <c r="L73" t="s">
        <v>85</v>
      </c>
      <c r="M73" s="9">
        <v>42776.714699074073</v>
      </c>
      <c r="N73" s="20"/>
      <c r="O73" s="20"/>
      <c r="Q73" s="13">
        <v>4.7858796293439809E-2</v>
      </c>
      <c r="S73" s="43" t="s">
        <v>321</v>
      </c>
    </row>
    <row r="74" spans="1:28" s="22" customFormat="1" ht="15" x14ac:dyDescent="0.2">
      <c r="C74" s="23"/>
      <c r="D74" s="23" t="s">
        <v>342</v>
      </c>
      <c r="E74" s="23"/>
      <c r="L74" s="23" t="s">
        <v>342</v>
      </c>
      <c r="M74" s="23"/>
      <c r="O74" s="24"/>
      <c r="P74" s="25"/>
      <c r="Q74" s="25"/>
      <c r="R74" s="25"/>
      <c r="S74" s="26"/>
      <c r="T74" s="25"/>
      <c r="U74" s="23" t="s">
        <v>342</v>
      </c>
      <c r="V74" s="25"/>
    </row>
    <row r="75" spans="1:28" s="22" customFormat="1" ht="15" x14ac:dyDescent="0.2">
      <c r="C75" s="23"/>
      <c r="D75" s="23" t="s">
        <v>342</v>
      </c>
      <c r="E75" s="23"/>
      <c r="L75" s="23" t="s">
        <v>342</v>
      </c>
      <c r="M75" s="23"/>
      <c r="O75" s="24"/>
      <c r="P75" s="25"/>
      <c r="Q75" s="25"/>
      <c r="R75" s="25"/>
      <c r="S75" s="26"/>
      <c r="T75" s="25"/>
      <c r="U75" s="23" t="s">
        <v>342</v>
      </c>
      <c r="V75" s="25"/>
    </row>
    <row r="76" spans="1:28" ht="15" x14ac:dyDescent="0.2">
      <c r="A76" s="22"/>
      <c r="B76" s="22"/>
      <c r="C76" s="23"/>
      <c r="D76" s="23" t="s">
        <v>342</v>
      </c>
      <c r="E76" s="23"/>
      <c r="F76" s="22"/>
      <c r="G76" s="22"/>
      <c r="H76" s="22"/>
      <c r="I76" s="22"/>
      <c r="J76" s="22"/>
      <c r="K76" s="22"/>
      <c r="L76" s="23" t="s">
        <v>342</v>
      </c>
      <c r="M76" s="22"/>
      <c r="N76" s="22"/>
      <c r="O76" s="22"/>
      <c r="P76" s="22"/>
      <c r="Q76" s="22"/>
      <c r="R76" s="22"/>
      <c r="S76" s="22"/>
      <c r="T76" s="22"/>
      <c r="U76" s="23" t="s">
        <v>342</v>
      </c>
      <c r="V76" s="22"/>
      <c r="W76" s="22"/>
      <c r="X76" s="22"/>
      <c r="Y76" s="22"/>
      <c r="Z76" s="22"/>
      <c r="AA76" s="22"/>
      <c r="AB76" s="22"/>
    </row>
    <row r="77" spans="1:28" ht="51" x14ac:dyDescent="0.2">
      <c r="A77" s="2"/>
      <c r="B77" s="6"/>
      <c r="C77" s="2"/>
      <c r="D77" s="6"/>
      <c r="E77" s="6"/>
      <c r="F77" s="27"/>
      <c r="G77" s="6"/>
      <c r="H77" s="28" t="s">
        <v>343</v>
      </c>
      <c r="I77" s="29">
        <v>33</v>
      </c>
      <c r="J77" s="6"/>
      <c r="K77" s="8"/>
      <c r="L77" s="8"/>
      <c r="M77" s="8"/>
      <c r="N77" s="30" t="s">
        <v>344</v>
      </c>
      <c r="O77" s="6">
        <v>29</v>
      </c>
      <c r="Q77" s="8"/>
      <c r="R77" s="8"/>
      <c r="S77" s="8"/>
      <c r="X77" s="31"/>
      <c r="Y77" s="31"/>
      <c r="Z77" s="31"/>
      <c r="AA77" s="31"/>
    </row>
    <row r="78" spans="1:28" ht="25.5" x14ac:dyDescent="0.2">
      <c r="A78" s="2"/>
      <c r="B78" s="6"/>
      <c r="C78" s="2"/>
      <c r="D78" s="6"/>
      <c r="E78" s="6"/>
      <c r="F78" s="27"/>
      <c r="G78" s="6"/>
      <c r="H78" s="32" t="s">
        <v>345</v>
      </c>
      <c r="I78" s="29">
        <v>0</v>
      </c>
      <c r="J78" s="6"/>
      <c r="K78" s="8"/>
      <c r="L78" s="8"/>
      <c r="M78" s="8"/>
      <c r="N78" s="32" t="s">
        <v>346</v>
      </c>
      <c r="O78" s="6">
        <v>0</v>
      </c>
      <c r="Q78" s="8"/>
      <c r="R78" s="8"/>
      <c r="S78" s="8"/>
    </row>
    <row r="79" spans="1:28" ht="25.5" x14ac:dyDescent="0.2">
      <c r="A79" s="2"/>
      <c r="B79" s="6"/>
      <c r="C79" s="2"/>
      <c r="D79" s="6"/>
      <c r="E79" s="6"/>
      <c r="F79" s="27"/>
      <c r="G79" s="6"/>
      <c r="H79" s="32" t="s">
        <v>347</v>
      </c>
      <c r="I79">
        <v>25</v>
      </c>
      <c r="J79" s="6"/>
      <c r="K79" s="8"/>
      <c r="L79" s="8"/>
      <c r="M79" s="8"/>
      <c r="N79" s="32" t="s">
        <v>345</v>
      </c>
      <c r="O79" s="6">
        <v>0</v>
      </c>
      <c r="Q79" s="8"/>
      <c r="R79" s="8"/>
      <c r="S79" s="8"/>
    </row>
    <row r="80" spans="1:28" ht="25.5" x14ac:dyDescent="0.2">
      <c r="A80" s="2"/>
      <c r="B80" s="6"/>
      <c r="E80" s="6" t="s">
        <v>348</v>
      </c>
      <c r="F80" s="6">
        <f>G85+O80+L80-I80</f>
        <v>36</v>
      </c>
      <c r="G80" s="6"/>
      <c r="H80" s="6" t="s">
        <v>349</v>
      </c>
      <c r="I80" s="29">
        <f>I77+I78+I79</f>
        <v>58</v>
      </c>
      <c r="J80" s="6"/>
      <c r="K80" s="6" t="s">
        <v>350</v>
      </c>
      <c r="L80" s="29">
        <v>35</v>
      </c>
      <c r="M80" s="8"/>
      <c r="N80" s="6" t="s">
        <v>349</v>
      </c>
      <c r="O80" s="29">
        <f>O77+O78+O79</f>
        <v>29</v>
      </c>
      <c r="Q80" s="33" t="s">
        <v>351</v>
      </c>
      <c r="R80" s="34">
        <v>43</v>
      </c>
      <c r="U80" s="35" t="s">
        <v>352</v>
      </c>
      <c r="V80" s="36"/>
      <c r="W80" s="36"/>
      <c r="X80" s="36"/>
      <c r="Y80" s="36"/>
      <c r="Z80" s="35"/>
      <c r="AB80" s="37"/>
    </row>
    <row r="81" spans="1:256" x14ac:dyDescent="0.2">
      <c r="A81" s="2"/>
      <c r="B81" s="6"/>
      <c r="E81" s="2" t="s">
        <v>353</v>
      </c>
      <c r="F81" s="6">
        <v>8</v>
      </c>
      <c r="H81" s="2"/>
      <c r="I81" s="2"/>
      <c r="J81" s="1"/>
      <c r="K81" s="6"/>
      <c r="L81" s="6"/>
      <c r="M81" s="6"/>
      <c r="O81" s="38"/>
      <c r="Q81"/>
      <c r="R81"/>
      <c r="U81" s="35" t="s">
        <v>354</v>
      </c>
      <c r="V81" s="35" t="s">
        <v>355</v>
      </c>
      <c r="W81" s="35" t="s">
        <v>356</v>
      </c>
      <c r="X81" s="35" t="s">
        <v>357</v>
      </c>
      <c r="Y81" s="35" t="s">
        <v>358</v>
      </c>
      <c r="Z81" s="35" t="s">
        <v>359</v>
      </c>
      <c r="AB81" s="37"/>
    </row>
    <row r="82" spans="1:256" x14ac:dyDescent="0.2">
      <c r="A82" s="2"/>
      <c r="B82" s="6"/>
      <c r="C82" s="2"/>
      <c r="D82" s="6"/>
      <c r="E82" s="6"/>
      <c r="F82" s="6"/>
      <c r="G82" s="1"/>
      <c r="H82" s="2"/>
      <c r="I82" s="2"/>
      <c r="J82" s="1"/>
      <c r="K82" s="6"/>
      <c r="L82" s="6"/>
      <c r="M82" s="6"/>
      <c r="O82" s="38"/>
      <c r="Q82"/>
      <c r="R82"/>
      <c r="U82" s="35" t="s">
        <v>360</v>
      </c>
      <c r="V82" s="35" t="s">
        <v>361</v>
      </c>
      <c r="W82" s="39">
        <f>IFERROR(AVERAGEIF($C$2:$C70, U82,$Y$2:$Y70), 0)</f>
        <v>0</v>
      </c>
      <c r="X82" s="35">
        <f>COUNTIF($C$2:$C70, $U82)</f>
        <v>0</v>
      </c>
      <c r="Y82" s="35">
        <f>COUNTIFS($C$2:$C70, $U82, $Z$2:$Z70, "y")</f>
        <v>0</v>
      </c>
      <c r="Z82" s="37">
        <f>IFERROR(Y82/X82, 0)</f>
        <v>0</v>
      </c>
      <c r="AB82" s="37"/>
    </row>
    <row r="83" spans="1:256" ht="15" x14ac:dyDescent="0.2">
      <c r="A83" s="6"/>
      <c r="B83" s="3"/>
      <c r="C83" s="3"/>
      <c r="D83" s="6"/>
      <c r="E83" s="6"/>
      <c r="F83" s="6"/>
      <c r="G83" s="6"/>
      <c r="H83" s="6"/>
      <c r="I83" s="7"/>
      <c r="J83" s="6"/>
      <c r="K83" s="6"/>
      <c r="L83" s="7"/>
      <c r="M83" s="6"/>
      <c r="N83" s="8"/>
      <c r="O83" s="38"/>
      <c r="P83" s="8"/>
      <c r="Q83" s="8"/>
      <c r="R83"/>
      <c r="U83" s="35" t="s">
        <v>362</v>
      </c>
      <c r="V83" s="35" t="s">
        <v>363</v>
      </c>
      <c r="W83" s="39">
        <f>IFERROR(AVERAGEIF($C$2:$C71, U83,$Y$2:$Y71), 0)</f>
        <v>0</v>
      </c>
      <c r="X83" s="35">
        <f>COUNTIF($C$2:$C71, $U83)</f>
        <v>0</v>
      </c>
      <c r="Y83" s="35">
        <f>COUNTIFS($C$2:$C71, $U83, $Z$2:$Z71, "y")</f>
        <v>0</v>
      </c>
      <c r="Z83" s="37">
        <f>IFERROR(Y83/X83, 0)</f>
        <v>0</v>
      </c>
      <c r="AB83" s="37"/>
    </row>
    <row r="84" spans="1:256" ht="25.5" x14ac:dyDescent="0.2">
      <c r="A84" s="6"/>
      <c r="B84" s="6"/>
      <c r="C84" s="6"/>
      <c r="D84" s="6"/>
      <c r="E84" s="6"/>
      <c r="F84" s="6"/>
      <c r="G84" s="30" t="s">
        <v>364</v>
      </c>
      <c r="H84" s="30" t="s">
        <v>365</v>
      </c>
      <c r="I84" s="30" t="s">
        <v>366</v>
      </c>
      <c r="J84" s="30" t="s">
        <v>367</v>
      </c>
      <c r="K84" s="30" t="s">
        <v>368</v>
      </c>
      <c r="L84" s="6"/>
      <c r="M84" s="6"/>
      <c r="O84" s="38"/>
      <c r="Q84"/>
      <c r="R84"/>
      <c r="U84" s="35" t="s">
        <v>37</v>
      </c>
      <c r="V84" s="35" t="s">
        <v>369</v>
      </c>
      <c r="W84" s="39">
        <f>IFERROR(AVERAGEIF($C$2:$C72, U84,$Y$2:$Y72), 0)</f>
        <v>0</v>
      </c>
      <c r="X84" s="35">
        <f>COUNTIF($C$2:$C72, $U84)</f>
        <v>53</v>
      </c>
      <c r="Y84" s="35">
        <f>COUNTIFS($C$2:$C72, $U84, $Z$2:$Z72, "y")</f>
        <v>0</v>
      </c>
      <c r="Z84" s="37">
        <f>IFERROR(Y84/X84, 0)</f>
        <v>0</v>
      </c>
      <c r="AB84" s="37"/>
    </row>
    <row r="85" spans="1:256" x14ac:dyDescent="0.2">
      <c r="A85" s="6"/>
      <c r="B85" s="6"/>
      <c r="C85" s="6"/>
      <c r="D85" s="6"/>
      <c r="E85" s="6"/>
      <c r="F85" s="6"/>
      <c r="G85" s="40">
        <v>30</v>
      </c>
      <c r="H85" s="30">
        <v>58</v>
      </c>
      <c r="I85" s="30">
        <v>35</v>
      </c>
      <c r="J85" s="30">
        <v>29</v>
      </c>
      <c r="K85" s="30">
        <v>43</v>
      </c>
      <c r="L85" s="6"/>
      <c r="M85" s="6"/>
      <c r="O85" s="38"/>
      <c r="Q85"/>
      <c r="R85"/>
      <c r="U85" s="35" t="s">
        <v>83</v>
      </c>
      <c r="V85" s="35" t="s">
        <v>370</v>
      </c>
      <c r="W85" s="39">
        <f>IFERROR(AVERAGEIF($C$2:$C73, U85,$Y$2:$Y73), 0)</f>
        <v>0</v>
      </c>
      <c r="X85" s="35">
        <f>COUNTIF($C$2:$C73, $U85)</f>
        <v>18</v>
      </c>
      <c r="Y85" s="35">
        <f>COUNTIFS($C$2:$C73, $U85, $Z$2:$Z73, "y")</f>
        <v>0</v>
      </c>
      <c r="Z85" s="37">
        <f>IFERROR(Y85/X85, 0)</f>
        <v>0</v>
      </c>
    </row>
    <row r="86" spans="1:256" s="22" customFormat="1" ht="15" x14ac:dyDescent="0.2">
      <c r="A86" s="41"/>
      <c r="B86" s="41"/>
      <c r="C86" s="42"/>
      <c r="D86" s="42"/>
      <c r="E86" s="42"/>
      <c r="F86" s="41"/>
      <c r="G86" s="41"/>
      <c r="H86" s="41"/>
      <c r="I86" s="41"/>
      <c r="J86" s="41"/>
      <c r="K86" s="41"/>
      <c r="L86" s="42"/>
      <c r="M86" s="41"/>
      <c r="N86" s="41"/>
      <c r="O86" s="41"/>
      <c r="P86" s="41"/>
      <c r="Q86" s="41"/>
      <c r="R86" s="41"/>
      <c r="S86" s="41"/>
      <c r="T86" s="41"/>
      <c r="U86" s="35" t="s">
        <v>349</v>
      </c>
      <c r="V86" s="35"/>
      <c r="W86" s="39">
        <f>IFERROR(AVERAGE($Y$2:$Y70), 0)</f>
        <v>0</v>
      </c>
      <c r="X86" s="35">
        <f>SUM(X82:X85)</f>
        <v>71</v>
      </c>
      <c r="Y86" s="35">
        <f>SUM(Y82:Y85)</f>
        <v>0</v>
      </c>
      <c r="Z86" s="37">
        <f>IFERROR(Y86/X86, 0)</f>
        <v>0</v>
      </c>
    </row>
    <row r="87" spans="1:256" ht="15" x14ac:dyDescent="0.2">
      <c r="A87" s="22"/>
      <c r="B87" s="22"/>
      <c r="C87" s="23"/>
      <c r="D87" s="23" t="s">
        <v>342</v>
      </c>
      <c r="E87" s="23"/>
      <c r="F87" s="22"/>
      <c r="G87" s="22"/>
      <c r="H87" s="22"/>
      <c r="I87" s="22"/>
      <c r="J87" s="22"/>
      <c r="K87" s="22"/>
      <c r="L87" s="23" t="s">
        <v>342</v>
      </c>
      <c r="M87" s="23"/>
      <c r="N87" s="22"/>
      <c r="O87" s="24"/>
      <c r="P87" s="25"/>
      <c r="Q87" s="25"/>
      <c r="R87" s="25"/>
      <c r="S87" s="26"/>
      <c r="T87" s="25"/>
      <c r="U87" s="23" t="s">
        <v>342</v>
      </c>
      <c r="V87" s="25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  <c r="AS87" s="22"/>
      <c r="AT87" s="22"/>
      <c r="AU87" s="22"/>
      <c r="AV87" s="22"/>
      <c r="AW87" s="22"/>
      <c r="AX87" s="22"/>
      <c r="AY87" s="22"/>
      <c r="AZ87" s="22"/>
      <c r="BA87" s="22"/>
      <c r="BB87" s="22"/>
      <c r="BC87" s="22"/>
      <c r="BD87" s="22"/>
      <c r="BE87" s="22"/>
      <c r="BF87" s="22"/>
      <c r="BG87" s="22"/>
      <c r="BH87" s="22"/>
      <c r="BI87" s="22"/>
      <c r="BJ87" s="22"/>
      <c r="BK87" s="22"/>
      <c r="BL87" s="22"/>
      <c r="BM87" s="22"/>
      <c r="BN87" s="22"/>
      <c r="BO87" s="22"/>
      <c r="BP87" s="22"/>
      <c r="BQ87" s="22"/>
      <c r="BR87" s="22"/>
      <c r="BS87" s="22"/>
      <c r="BT87" s="22"/>
      <c r="BU87" s="22"/>
      <c r="BV87" s="22"/>
      <c r="BW87" s="22"/>
      <c r="BX87" s="22"/>
      <c r="BY87" s="22"/>
      <c r="BZ87" s="22"/>
      <c r="CA87" s="22"/>
      <c r="CB87" s="22"/>
      <c r="CC87" s="22"/>
      <c r="CD87" s="22"/>
      <c r="CE87" s="22"/>
      <c r="CF87" s="22"/>
      <c r="CG87" s="22"/>
      <c r="CH87" s="22"/>
      <c r="CI87" s="22"/>
      <c r="CJ87" s="22"/>
      <c r="CK87" s="22"/>
      <c r="CL87" s="22"/>
      <c r="CM87" s="22"/>
      <c r="CN87" s="22"/>
      <c r="CO87" s="22"/>
      <c r="CP87" s="22"/>
      <c r="CQ87" s="22"/>
      <c r="CR87" s="22"/>
      <c r="CS87" s="22"/>
      <c r="CT87" s="22"/>
      <c r="CU87" s="22"/>
      <c r="CV87" s="22"/>
      <c r="CW87" s="22"/>
      <c r="CX87" s="22"/>
      <c r="CY87" s="22"/>
      <c r="CZ87" s="22"/>
      <c r="DA87" s="22"/>
      <c r="DB87" s="22"/>
      <c r="DC87" s="22"/>
      <c r="DD87" s="22"/>
      <c r="DE87" s="22"/>
      <c r="DF87" s="22"/>
      <c r="DG87" s="22"/>
      <c r="DH87" s="22"/>
      <c r="DI87" s="22"/>
      <c r="DJ87" s="22"/>
      <c r="DK87" s="22"/>
      <c r="DL87" s="22"/>
      <c r="DM87" s="22"/>
      <c r="DN87" s="22"/>
      <c r="DO87" s="22"/>
      <c r="DP87" s="22"/>
      <c r="DQ87" s="22"/>
      <c r="DR87" s="22"/>
      <c r="DS87" s="22"/>
      <c r="DT87" s="22"/>
      <c r="DU87" s="22"/>
      <c r="DV87" s="22"/>
      <c r="DW87" s="22"/>
      <c r="DX87" s="22"/>
      <c r="DY87" s="22"/>
      <c r="DZ87" s="22"/>
      <c r="EA87" s="22"/>
      <c r="EB87" s="22"/>
      <c r="EC87" s="22"/>
      <c r="ED87" s="22"/>
      <c r="EE87" s="22"/>
      <c r="EF87" s="22"/>
      <c r="EG87" s="22"/>
      <c r="EH87" s="22"/>
      <c r="EI87" s="22"/>
      <c r="EJ87" s="22"/>
      <c r="EK87" s="22"/>
      <c r="EL87" s="22"/>
      <c r="EM87" s="22"/>
      <c r="EN87" s="22"/>
      <c r="EO87" s="22"/>
      <c r="EP87" s="22"/>
      <c r="EQ87" s="22"/>
      <c r="ER87" s="22"/>
      <c r="ES87" s="22"/>
      <c r="ET87" s="22"/>
      <c r="EU87" s="22"/>
      <c r="EV87" s="22"/>
      <c r="EW87" s="22"/>
      <c r="EX87" s="22"/>
      <c r="EY87" s="22"/>
      <c r="EZ87" s="22"/>
      <c r="FA87" s="22"/>
      <c r="FB87" s="22"/>
      <c r="FC87" s="22"/>
      <c r="FD87" s="22"/>
      <c r="FE87" s="22"/>
      <c r="FF87" s="22"/>
      <c r="FG87" s="22"/>
      <c r="FH87" s="22"/>
      <c r="FI87" s="22"/>
      <c r="FJ87" s="22"/>
      <c r="FK87" s="22"/>
      <c r="FL87" s="22"/>
      <c r="FM87" s="22"/>
      <c r="FN87" s="22"/>
      <c r="FO87" s="22"/>
      <c r="FP87" s="22"/>
      <c r="FQ87" s="22"/>
      <c r="FR87" s="22"/>
      <c r="FS87" s="22"/>
      <c r="FT87" s="22"/>
      <c r="FU87" s="22"/>
      <c r="FV87" s="22"/>
      <c r="FW87" s="22"/>
      <c r="FX87" s="22"/>
      <c r="FY87" s="22"/>
      <c r="FZ87" s="22"/>
      <c r="GA87" s="22"/>
      <c r="GB87" s="22"/>
      <c r="GC87" s="22"/>
      <c r="GD87" s="22"/>
      <c r="GE87" s="22"/>
      <c r="GF87" s="22"/>
      <c r="GG87" s="22"/>
      <c r="GH87" s="22"/>
      <c r="GI87" s="22"/>
      <c r="GJ87" s="22"/>
      <c r="GK87" s="22"/>
      <c r="GL87" s="22"/>
      <c r="GM87" s="22"/>
      <c r="GN87" s="22"/>
      <c r="GO87" s="22"/>
      <c r="GP87" s="22"/>
      <c r="GQ87" s="22"/>
      <c r="GR87" s="22"/>
      <c r="GS87" s="22"/>
      <c r="GT87" s="22"/>
      <c r="GU87" s="22"/>
      <c r="GV87" s="22"/>
      <c r="GW87" s="22"/>
      <c r="GX87" s="22"/>
      <c r="GY87" s="22"/>
      <c r="GZ87" s="22"/>
      <c r="HA87" s="22"/>
      <c r="HB87" s="22"/>
      <c r="HC87" s="22"/>
      <c r="HD87" s="22"/>
      <c r="HE87" s="22"/>
      <c r="HF87" s="22"/>
      <c r="HG87" s="22"/>
      <c r="HH87" s="22"/>
      <c r="HI87" s="22"/>
      <c r="HJ87" s="22"/>
      <c r="HK87" s="22"/>
      <c r="HL87" s="22"/>
      <c r="HM87" s="22"/>
      <c r="HN87" s="22"/>
      <c r="HO87" s="22"/>
      <c r="HP87" s="22"/>
      <c r="HQ87" s="22"/>
      <c r="HR87" s="22"/>
      <c r="HS87" s="22"/>
      <c r="HT87" s="22"/>
      <c r="HU87" s="22"/>
      <c r="HV87" s="22"/>
      <c r="HW87" s="22"/>
      <c r="HX87" s="22"/>
      <c r="HY87" s="22"/>
      <c r="HZ87" s="22"/>
      <c r="IA87" s="22"/>
      <c r="IB87" s="22"/>
      <c r="IC87" s="22"/>
      <c r="ID87" s="22"/>
      <c r="IE87" s="22"/>
      <c r="IF87" s="22"/>
      <c r="IG87" s="22"/>
      <c r="IH87" s="22"/>
      <c r="II87" s="22"/>
      <c r="IJ87" s="22"/>
      <c r="IK87" s="22"/>
      <c r="IL87" s="22"/>
      <c r="IM87" s="22"/>
      <c r="IN87" s="22"/>
      <c r="IO87" s="22"/>
      <c r="IP87" s="22"/>
      <c r="IQ87" s="22"/>
      <c r="IR87" s="22"/>
      <c r="IS87" s="22"/>
      <c r="IT87" s="22"/>
      <c r="IU87" s="22"/>
      <c r="IV87" s="22"/>
    </row>
  </sheetData>
  <autoFilter ref="A1:IV1">
    <sortState ref="A2:IV81">
      <sortCondition ref="J1"/>
    </sortState>
  </autoFilter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2"/>
  <sheetViews>
    <sheetView topLeftCell="A7" workbookViewId="0">
      <selection activeCell="G32" sqref="G32"/>
    </sheetView>
  </sheetViews>
  <sheetFormatPr defaultRowHeight="12.75" x14ac:dyDescent="0.2"/>
  <cols>
    <col min="1" max="1" width="11" style="15" customWidth="1"/>
    <col min="2" max="2" width="9.42578125" style="15" customWidth="1"/>
    <col min="3" max="3" width="10.85546875" style="15" bestFit="1" customWidth="1"/>
    <col min="4" max="16384" width="9.140625" style="15"/>
  </cols>
  <sheetData>
    <row r="1" spans="1:3" x14ac:dyDescent="0.2">
      <c r="A1" s="14">
        <v>41640</v>
      </c>
      <c r="B1" s="15" t="s">
        <v>19</v>
      </c>
      <c r="C1" s="15" t="s">
        <v>20</v>
      </c>
    </row>
    <row r="2" spans="1:3" x14ac:dyDescent="0.2">
      <c r="A2" s="14">
        <v>41659</v>
      </c>
      <c r="B2" s="15" t="s">
        <v>21</v>
      </c>
      <c r="C2" s="15" t="s">
        <v>22</v>
      </c>
    </row>
    <row r="3" spans="1:3" x14ac:dyDescent="0.2">
      <c r="A3" s="14">
        <v>41687</v>
      </c>
      <c r="B3" s="15" t="s">
        <v>23</v>
      </c>
      <c r="C3" s="15" t="s">
        <v>22</v>
      </c>
    </row>
    <row r="4" spans="1:3" x14ac:dyDescent="0.2">
      <c r="A4" s="14">
        <v>41785</v>
      </c>
      <c r="B4" s="15" t="s">
        <v>24</v>
      </c>
      <c r="C4" s="15" t="s">
        <v>22</v>
      </c>
    </row>
    <row r="5" spans="1:3" x14ac:dyDescent="0.2">
      <c r="A5" s="14">
        <v>41824</v>
      </c>
      <c r="B5" s="15" t="s">
        <v>25</v>
      </c>
      <c r="C5" s="15" t="s">
        <v>26</v>
      </c>
    </row>
    <row r="6" spans="1:3" x14ac:dyDescent="0.2">
      <c r="A6" s="14">
        <v>41883</v>
      </c>
      <c r="B6" s="15" t="s">
        <v>27</v>
      </c>
      <c r="C6" s="15" t="s">
        <v>22</v>
      </c>
    </row>
    <row r="7" spans="1:3" x14ac:dyDescent="0.2">
      <c r="A7" s="14">
        <v>41925</v>
      </c>
      <c r="B7" s="15" t="s">
        <v>28</v>
      </c>
      <c r="C7" s="15" t="s">
        <v>22</v>
      </c>
    </row>
    <row r="8" spans="1:3" x14ac:dyDescent="0.2">
      <c r="A8" s="14">
        <v>41954</v>
      </c>
      <c r="B8" s="15" t="s">
        <v>29</v>
      </c>
      <c r="C8" s="15" t="s">
        <v>30</v>
      </c>
    </row>
    <row r="9" spans="1:3" x14ac:dyDescent="0.2">
      <c r="A9" s="14">
        <v>41970</v>
      </c>
      <c r="B9" s="15" t="s">
        <v>31</v>
      </c>
      <c r="C9" s="15" t="s">
        <v>32</v>
      </c>
    </row>
    <row r="10" spans="1:3" x14ac:dyDescent="0.2">
      <c r="A10" s="14">
        <v>41998</v>
      </c>
      <c r="B10" s="15" t="s">
        <v>33</v>
      </c>
      <c r="C10" s="15" t="s">
        <v>32</v>
      </c>
    </row>
    <row r="11" spans="1:3" x14ac:dyDescent="0.2">
      <c r="A11" s="14">
        <v>42005</v>
      </c>
      <c r="B11" s="15" t="s">
        <v>19</v>
      </c>
      <c r="C11" s="15" t="s">
        <v>32</v>
      </c>
    </row>
    <row r="12" spans="1:3" x14ac:dyDescent="0.2">
      <c r="A12" s="14">
        <v>42023</v>
      </c>
      <c r="B12" s="15" t="s">
        <v>21</v>
      </c>
      <c r="C12" s="15" t="s">
        <v>22</v>
      </c>
    </row>
    <row r="13" spans="1:3" x14ac:dyDescent="0.2">
      <c r="A13" s="14">
        <v>42051</v>
      </c>
      <c r="B13" s="15" t="s">
        <v>23</v>
      </c>
      <c r="C13" s="15" t="s">
        <v>22</v>
      </c>
    </row>
    <row r="14" spans="1:3" x14ac:dyDescent="0.2">
      <c r="A14" s="14">
        <v>42149</v>
      </c>
      <c r="B14" s="15" t="s">
        <v>24</v>
      </c>
      <c r="C14" s="15" t="s">
        <v>22</v>
      </c>
    </row>
    <row r="15" spans="1:3" x14ac:dyDescent="0.2">
      <c r="A15" s="14">
        <v>42188</v>
      </c>
      <c r="B15" s="15" t="s">
        <v>34</v>
      </c>
      <c r="C15" s="15" t="s">
        <v>26</v>
      </c>
    </row>
    <row r="16" spans="1:3" x14ac:dyDescent="0.2">
      <c r="A16" s="14">
        <v>42189</v>
      </c>
      <c r="B16" s="15" t="s">
        <v>25</v>
      </c>
      <c r="C16" s="15" t="s">
        <v>35</v>
      </c>
    </row>
    <row r="17" spans="1:7" x14ac:dyDescent="0.2">
      <c r="A17" s="14">
        <v>42254</v>
      </c>
      <c r="B17" s="15" t="s">
        <v>27</v>
      </c>
      <c r="C17" s="15" t="s">
        <v>22</v>
      </c>
    </row>
    <row r="18" spans="1:7" x14ac:dyDescent="0.2">
      <c r="A18" s="14">
        <v>42289</v>
      </c>
      <c r="B18" s="15" t="s">
        <v>28</v>
      </c>
      <c r="C18" s="15" t="s">
        <v>22</v>
      </c>
    </row>
    <row r="19" spans="1:7" x14ac:dyDescent="0.2">
      <c r="A19" s="14">
        <v>42319</v>
      </c>
      <c r="B19" s="15" t="s">
        <v>29</v>
      </c>
      <c r="C19" s="15" t="s">
        <v>20</v>
      </c>
    </row>
    <row r="20" spans="1:7" x14ac:dyDescent="0.2">
      <c r="A20" s="14">
        <v>42334</v>
      </c>
      <c r="B20" s="15" t="s">
        <v>31</v>
      </c>
      <c r="C20" s="15" t="s">
        <v>32</v>
      </c>
    </row>
    <row r="21" spans="1:7" x14ac:dyDescent="0.2">
      <c r="A21" s="14">
        <v>42363</v>
      </c>
      <c r="B21" s="15" t="s">
        <v>33</v>
      </c>
      <c r="C21" s="15" t="s">
        <v>26</v>
      </c>
    </row>
    <row r="22" spans="1:7" ht="14.25" x14ac:dyDescent="0.2">
      <c r="A22" s="14">
        <v>42370</v>
      </c>
      <c r="B22" s="15" t="s">
        <v>19</v>
      </c>
      <c r="C22" s="17" t="s">
        <v>26</v>
      </c>
      <c r="F22" s="16"/>
      <c r="G22" s="17"/>
    </row>
    <row r="23" spans="1:7" ht="14.25" x14ac:dyDescent="0.2">
      <c r="A23" s="14">
        <v>42387</v>
      </c>
      <c r="B23" s="15" t="s">
        <v>21</v>
      </c>
      <c r="C23" s="19" t="s">
        <v>22</v>
      </c>
      <c r="F23" s="18"/>
      <c r="G23" s="19"/>
    </row>
    <row r="24" spans="1:7" ht="14.25" x14ac:dyDescent="0.2">
      <c r="A24" s="14">
        <v>42415</v>
      </c>
      <c r="B24" s="15" t="s">
        <v>23</v>
      </c>
      <c r="C24" s="19" t="s">
        <v>22</v>
      </c>
    </row>
    <row r="25" spans="1:7" ht="14.25" x14ac:dyDescent="0.2">
      <c r="A25" s="14">
        <v>42520</v>
      </c>
      <c r="B25" s="15" t="s">
        <v>24</v>
      </c>
      <c r="C25" s="19" t="s">
        <v>22</v>
      </c>
      <c r="E25" s="19"/>
      <c r="F25" s="18"/>
      <c r="G25" s="19"/>
    </row>
    <row r="26" spans="1:7" ht="14.25" x14ac:dyDescent="0.2">
      <c r="A26" s="14">
        <v>42555</v>
      </c>
      <c r="B26" s="15" t="s">
        <v>25</v>
      </c>
      <c r="C26" s="19" t="s">
        <v>22</v>
      </c>
      <c r="E26" s="19"/>
      <c r="F26" s="18"/>
      <c r="G26" s="19"/>
    </row>
    <row r="27" spans="1:7" ht="14.25" x14ac:dyDescent="0.2">
      <c r="A27" s="14">
        <v>42618</v>
      </c>
      <c r="B27" s="15" t="s">
        <v>27</v>
      </c>
      <c r="C27" s="19" t="s">
        <v>22</v>
      </c>
      <c r="E27" s="19"/>
      <c r="F27" s="18"/>
      <c r="G27" s="19"/>
    </row>
    <row r="28" spans="1:7" ht="14.25" x14ac:dyDescent="0.2">
      <c r="A28" s="14">
        <v>42653</v>
      </c>
      <c r="B28" s="15" t="s">
        <v>28</v>
      </c>
      <c r="C28" s="19" t="s">
        <v>22</v>
      </c>
      <c r="E28" s="19"/>
      <c r="F28" s="18"/>
      <c r="G28" s="19"/>
    </row>
    <row r="29" spans="1:7" ht="14.25" x14ac:dyDescent="0.2">
      <c r="A29" s="14">
        <v>42685</v>
      </c>
      <c r="B29" s="15" t="s">
        <v>29</v>
      </c>
      <c r="C29" s="19" t="s">
        <v>26</v>
      </c>
      <c r="E29" s="19"/>
      <c r="F29" s="18"/>
      <c r="G29" s="19"/>
    </row>
    <row r="30" spans="1:7" ht="14.25" x14ac:dyDescent="0.2">
      <c r="A30" s="14">
        <v>42698</v>
      </c>
      <c r="B30" s="15" t="s">
        <v>31</v>
      </c>
      <c r="C30" s="19" t="s">
        <v>32</v>
      </c>
      <c r="E30" s="19"/>
      <c r="F30" s="18"/>
      <c r="G30" s="19"/>
    </row>
    <row r="31" spans="1:7" ht="14.25" x14ac:dyDescent="0.2">
      <c r="A31" s="14">
        <v>42730</v>
      </c>
      <c r="B31" s="15" t="s">
        <v>33</v>
      </c>
      <c r="C31" s="19" t="s">
        <v>22</v>
      </c>
      <c r="E31" s="19"/>
      <c r="F31" s="18"/>
      <c r="G31" s="19"/>
    </row>
    <row r="32" spans="1:7" ht="14.25" x14ac:dyDescent="0.2">
      <c r="E32" s="19"/>
      <c r="F32" s="18"/>
      <c r="G32" s="19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Page 1</vt:lpstr>
      <vt:lpstr>Sheet1</vt:lpstr>
      <vt:lpstr>Holidays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Ahn, Thomas [USA]</dc:creator>
  <cp:lastModifiedBy>Temp</cp:lastModifiedBy>
  <dcterms:created xsi:type="dcterms:W3CDTF">2015-02-24T14:52:04Z</dcterms:created>
  <dcterms:modified xsi:type="dcterms:W3CDTF">2017-02-13T19:51:51Z</dcterms:modified>
</cp:coreProperties>
</file>