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kelly\Desktop\Metrics\Weekly\"/>
    </mc:Choice>
  </mc:AlternateContent>
  <bookViews>
    <workbookView xWindow="0" yWindow="0" windowWidth="21600" windowHeight="10320"/>
  </bookViews>
  <sheets>
    <sheet name="Sheet1" sheetId="2" r:id="rId1"/>
    <sheet name="Page 1" sheetId="4" r:id="rId2"/>
    <sheet name="Holidays" sheetId="3" r:id="rId3"/>
    <sheet name="Page 1 (2)" sheetId="5" r:id="rId4"/>
  </sheets>
  <definedNames>
    <definedName name="_xlnm._FilterDatabase" localSheetId="1" hidden="1">'Page 1'!$A$1:$I$762</definedName>
    <definedName name="_xlnm._FilterDatabase" localSheetId="3" hidden="1">'Page 1 (2)'!$A$1:$L$544</definedName>
    <definedName name="_xlnm._FilterDatabase" localSheetId="0" hidden="1">Sheet1!$A$1:$S$80</definedName>
  </definedNames>
  <calcPr calcId="152511"/>
</workbook>
</file>

<file path=xl/calcChain.xml><?xml version="1.0" encoding="utf-8"?>
<calcChain xmlns="http://schemas.openxmlformats.org/spreadsheetml/2006/main">
  <c r="J513" i="5" l="1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2" i="5"/>
  <c r="K2" i="5"/>
  <c r="K3" i="5" s="1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K4" i="5" l="1"/>
  <c r="K5" i="5" l="1"/>
  <c r="K6" i="5" l="1"/>
  <c r="K7" i="5" l="1"/>
  <c r="K8" i="5" l="1"/>
  <c r="K9" i="5" l="1"/>
  <c r="K10" i="5" l="1"/>
  <c r="K11" i="5" l="1"/>
  <c r="L10" i="5"/>
  <c r="L9" i="5" s="1"/>
  <c r="L8" i="5" s="1"/>
  <c r="L7" i="5" s="1"/>
  <c r="L6" i="5" s="1"/>
  <c r="L5" i="5" s="1"/>
  <c r="L4" i="5" s="1"/>
  <c r="L3" i="5" s="1"/>
  <c r="L2" i="5" s="1"/>
  <c r="K12" i="5" l="1"/>
  <c r="K13" i="5" l="1"/>
  <c r="L13" i="5" l="1"/>
  <c r="L12" i="5" s="1"/>
  <c r="L11" i="5" s="1"/>
  <c r="K14" i="5"/>
  <c r="K15" i="5" l="1"/>
  <c r="K16" i="5" l="1"/>
  <c r="K17" i="5" l="1"/>
  <c r="L17" i="5" l="1"/>
  <c r="L16" i="5" s="1"/>
  <c r="L15" i="5" s="1"/>
  <c r="L14" i="5" s="1"/>
  <c r="K18" i="5"/>
  <c r="K19" i="5" l="1"/>
  <c r="K20" i="5" l="1"/>
  <c r="K21" i="5" l="1"/>
  <c r="L21" i="5" l="1"/>
  <c r="L20" i="5" s="1"/>
  <c r="L19" i="5" s="1"/>
  <c r="L18" i="5" s="1"/>
  <c r="K22" i="5"/>
  <c r="K23" i="5" l="1"/>
  <c r="K24" i="5" l="1"/>
  <c r="K25" i="5" l="1"/>
  <c r="L25" i="5" l="1"/>
  <c r="L24" i="5" s="1"/>
  <c r="L23" i="5" s="1"/>
  <c r="L22" i="5" s="1"/>
  <c r="K26" i="5"/>
  <c r="K27" i="5" l="1"/>
  <c r="K28" i="5" l="1"/>
  <c r="L28" i="5" l="1"/>
  <c r="L27" i="5" s="1"/>
  <c r="L26" i="5" s="1"/>
  <c r="K29" i="5"/>
  <c r="K30" i="5" l="1"/>
  <c r="K31" i="5" l="1"/>
  <c r="K32" i="5" l="1"/>
  <c r="K33" i="5" l="1"/>
  <c r="K34" i="5" l="1"/>
  <c r="K35" i="5" l="1"/>
  <c r="K36" i="5" l="1"/>
  <c r="K37" i="5" l="1"/>
  <c r="K38" i="5" l="1"/>
  <c r="K39" i="5" l="1"/>
  <c r="K40" i="5" l="1"/>
  <c r="K41" i="5" l="1"/>
  <c r="K42" i="5" l="1"/>
  <c r="K43" i="5" l="1"/>
  <c r="L42" i="5"/>
  <c r="L41" i="5" s="1"/>
  <c r="L40" i="5" s="1"/>
  <c r="L39" i="5" s="1"/>
  <c r="L38" i="5" s="1"/>
  <c r="L37" i="5" s="1"/>
  <c r="L36" i="5" s="1"/>
  <c r="L35" i="5" s="1"/>
  <c r="L34" i="5" s="1"/>
  <c r="L33" i="5" s="1"/>
  <c r="L32" i="5" s="1"/>
  <c r="L31" i="5" s="1"/>
  <c r="L30" i="5" s="1"/>
  <c r="L29" i="5" s="1"/>
  <c r="K44" i="5" l="1"/>
  <c r="K45" i="5" l="1"/>
  <c r="K46" i="5" l="1"/>
  <c r="K47" i="5" l="1"/>
  <c r="K48" i="5" l="1"/>
  <c r="K49" i="5" l="1"/>
  <c r="K50" i="5" l="1"/>
  <c r="K51" i="5" l="1"/>
  <c r="K52" i="5" l="1"/>
  <c r="K53" i="5" l="1"/>
  <c r="K54" i="5" l="1"/>
  <c r="K55" i="5" l="1"/>
  <c r="K56" i="5" l="1"/>
  <c r="K57" i="5" l="1"/>
  <c r="K58" i="5" l="1"/>
  <c r="K59" i="5" l="1"/>
  <c r="K60" i="5" l="1"/>
  <c r="K61" i="5" l="1"/>
  <c r="K62" i="5" l="1"/>
  <c r="K63" i="5" l="1"/>
  <c r="K64" i="5" l="1"/>
  <c r="K65" i="5" l="1"/>
  <c r="L65" i="5" l="1"/>
  <c r="L64" i="5" s="1"/>
  <c r="L63" i="5" s="1"/>
  <c r="L62" i="5" s="1"/>
  <c r="L61" i="5" s="1"/>
  <c r="L60" i="5" s="1"/>
  <c r="L59" i="5" s="1"/>
  <c r="L58" i="5" s="1"/>
  <c r="L57" i="5" s="1"/>
  <c r="L56" i="5" s="1"/>
  <c r="L55" i="5" s="1"/>
  <c r="L54" i="5" s="1"/>
  <c r="L53" i="5" s="1"/>
  <c r="L52" i="5" s="1"/>
  <c r="L51" i="5" s="1"/>
  <c r="L50" i="5" s="1"/>
  <c r="L49" i="5" s="1"/>
  <c r="L48" i="5" s="1"/>
  <c r="L47" i="5" s="1"/>
  <c r="L46" i="5" s="1"/>
  <c r="L45" i="5" s="1"/>
  <c r="L44" i="5" s="1"/>
  <c r="L43" i="5" s="1"/>
  <c r="K66" i="5"/>
  <c r="K67" i="5" l="1"/>
  <c r="K68" i="5" l="1"/>
  <c r="K69" i="5" l="1"/>
  <c r="K70" i="5" l="1"/>
  <c r="K71" i="5" l="1"/>
  <c r="K72" i="5" l="1"/>
  <c r="K73" i="5" l="1"/>
  <c r="K74" i="5" l="1"/>
  <c r="K75" i="5" l="1"/>
  <c r="L74" i="5"/>
  <c r="L73" i="5" s="1"/>
  <c r="L72" i="5" s="1"/>
  <c r="L71" i="5" s="1"/>
  <c r="L70" i="5" s="1"/>
  <c r="L69" i="5" s="1"/>
  <c r="L68" i="5" s="1"/>
  <c r="L67" i="5" s="1"/>
  <c r="L66" i="5" s="1"/>
  <c r="K76" i="5" l="1"/>
  <c r="K77" i="5" l="1"/>
  <c r="K78" i="5" l="1"/>
  <c r="K79" i="5" l="1"/>
  <c r="K80" i="5" l="1"/>
  <c r="K81" i="5" l="1"/>
  <c r="K82" i="5" l="1"/>
  <c r="K83" i="5" l="1"/>
  <c r="K84" i="5" l="1"/>
  <c r="K85" i="5" l="1"/>
  <c r="K86" i="5" l="1"/>
  <c r="K87" i="5" l="1"/>
  <c r="K88" i="5" l="1"/>
  <c r="K89" i="5" l="1"/>
  <c r="K90" i="5" l="1"/>
  <c r="K91" i="5" l="1"/>
  <c r="L90" i="5"/>
  <c r="L89" i="5" s="1"/>
  <c r="L88" i="5" s="1"/>
  <c r="L87" i="5" s="1"/>
  <c r="L86" i="5" s="1"/>
  <c r="L85" i="5" s="1"/>
  <c r="L84" i="5" s="1"/>
  <c r="L83" i="5" s="1"/>
  <c r="L82" i="5" s="1"/>
  <c r="L81" i="5" s="1"/>
  <c r="L80" i="5" s="1"/>
  <c r="L79" i="5" s="1"/>
  <c r="L78" i="5" s="1"/>
  <c r="L77" i="5" s="1"/>
  <c r="L76" i="5" s="1"/>
  <c r="L75" i="5" s="1"/>
  <c r="K92" i="5" l="1"/>
  <c r="K93" i="5" l="1"/>
  <c r="K94" i="5" l="1"/>
  <c r="K95" i="5" l="1"/>
  <c r="K96" i="5" l="1"/>
  <c r="L96" i="5" l="1"/>
  <c r="L95" i="5" s="1"/>
  <c r="L94" i="5" s="1"/>
  <c r="L93" i="5" s="1"/>
  <c r="L92" i="5" s="1"/>
  <c r="L91" i="5" s="1"/>
  <c r="K97" i="5"/>
  <c r="K98" i="5" l="1"/>
  <c r="K99" i="5" l="1"/>
  <c r="K100" i="5" l="1"/>
  <c r="K101" i="5" l="1"/>
  <c r="L101" i="5" l="1"/>
  <c r="L100" i="5" s="1"/>
  <c r="L99" i="5" s="1"/>
  <c r="L98" i="5" s="1"/>
  <c r="L97" i="5" s="1"/>
  <c r="K102" i="5"/>
  <c r="K103" i="5" l="1"/>
  <c r="K104" i="5" l="1"/>
  <c r="L104" i="5" l="1"/>
  <c r="L103" i="5" s="1"/>
  <c r="L102" i="5" s="1"/>
  <c r="K105" i="5"/>
  <c r="K106" i="5" l="1"/>
  <c r="K107" i="5" l="1"/>
  <c r="K108" i="5" l="1"/>
  <c r="K109" i="5" l="1"/>
  <c r="K110" i="5" l="1"/>
  <c r="K111" i="5" l="1"/>
  <c r="K112" i="5" l="1"/>
  <c r="K113" i="5" l="1"/>
  <c r="K114" i="5" l="1"/>
  <c r="K115" i="5" l="1"/>
  <c r="K116" i="5" l="1"/>
  <c r="K117" i="5" l="1"/>
  <c r="K118" i="5" l="1"/>
  <c r="K119" i="5" l="1"/>
  <c r="K120" i="5" l="1"/>
  <c r="K121" i="5" l="1"/>
  <c r="K122" i="5" l="1"/>
  <c r="K123" i="5" l="1"/>
  <c r="K124" i="5" l="1"/>
  <c r="L123" i="5"/>
  <c r="L122" i="5" s="1"/>
  <c r="L121" i="5" s="1"/>
  <c r="L120" i="5" s="1"/>
  <c r="L119" i="5" s="1"/>
  <c r="L118" i="5" s="1"/>
  <c r="L117" i="5" s="1"/>
  <c r="L116" i="5" s="1"/>
  <c r="L115" i="5" s="1"/>
  <c r="L114" i="5" s="1"/>
  <c r="L113" i="5" s="1"/>
  <c r="L112" i="5" s="1"/>
  <c r="L111" i="5" s="1"/>
  <c r="L110" i="5" s="1"/>
  <c r="L109" i="5" s="1"/>
  <c r="L108" i="5" s="1"/>
  <c r="L107" i="5" s="1"/>
  <c r="L106" i="5" s="1"/>
  <c r="L105" i="5" s="1"/>
  <c r="K125" i="5" l="1"/>
  <c r="K126" i="5" l="1"/>
  <c r="K127" i="5" l="1"/>
  <c r="K128" i="5" l="1"/>
  <c r="K129" i="5" l="1"/>
  <c r="K130" i="5" l="1"/>
  <c r="K131" i="5" l="1"/>
  <c r="K132" i="5" l="1"/>
  <c r="K133" i="5" l="1"/>
  <c r="L133" i="5" l="1"/>
  <c r="L132" i="5" s="1"/>
  <c r="L131" i="5" s="1"/>
  <c r="L130" i="5" s="1"/>
  <c r="L129" i="5" s="1"/>
  <c r="L128" i="5" s="1"/>
  <c r="L127" i="5" s="1"/>
  <c r="L126" i="5" s="1"/>
  <c r="L125" i="5" s="1"/>
  <c r="L124" i="5" s="1"/>
  <c r="K134" i="5"/>
  <c r="K135" i="5" l="1"/>
  <c r="K136" i="5" l="1"/>
  <c r="K137" i="5" l="1"/>
  <c r="K138" i="5" l="1"/>
  <c r="K139" i="5" l="1"/>
  <c r="K140" i="5" l="1"/>
  <c r="K141" i="5" l="1"/>
  <c r="K142" i="5" l="1"/>
  <c r="K143" i="5" l="1"/>
  <c r="K144" i="5" l="1"/>
  <c r="K145" i="5" l="1"/>
  <c r="K146" i="5" l="1"/>
  <c r="K147" i="5" l="1"/>
  <c r="K148" i="5" l="1"/>
  <c r="K149" i="5" l="1"/>
  <c r="K150" i="5" l="1"/>
  <c r="K151" i="5" l="1"/>
  <c r="K152" i="5" l="1"/>
  <c r="K153" i="5" l="1"/>
  <c r="K154" i="5" l="1"/>
  <c r="K155" i="5" l="1"/>
  <c r="K156" i="5" l="1"/>
  <c r="K157" i="5" l="1"/>
  <c r="K158" i="5" l="1"/>
  <c r="K159" i="5" l="1"/>
  <c r="K160" i="5" l="1"/>
  <c r="K161" i="5" l="1"/>
  <c r="L161" i="5" l="1"/>
  <c r="L160" i="5" s="1"/>
  <c r="L159" i="5" s="1"/>
  <c r="L158" i="5" s="1"/>
  <c r="L157" i="5" s="1"/>
  <c r="L156" i="5" s="1"/>
  <c r="L155" i="5" s="1"/>
  <c r="L154" i="5" s="1"/>
  <c r="L153" i="5" s="1"/>
  <c r="L152" i="5" s="1"/>
  <c r="L151" i="5" s="1"/>
  <c r="L150" i="5" s="1"/>
  <c r="L149" i="5" s="1"/>
  <c r="L148" i="5" s="1"/>
  <c r="L147" i="5" s="1"/>
  <c r="L146" i="5" s="1"/>
  <c r="L145" i="5" s="1"/>
  <c r="L144" i="5" s="1"/>
  <c r="L143" i="5" s="1"/>
  <c r="L142" i="5" s="1"/>
  <c r="L141" i="5" s="1"/>
  <c r="L140" i="5" s="1"/>
  <c r="L139" i="5" s="1"/>
  <c r="L138" i="5" s="1"/>
  <c r="L137" i="5" s="1"/>
  <c r="L136" i="5" s="1"/>
  <c r="L135" i="5" s="1"/>
  <c r="L134" i="5" s="1"/>
  <c r="K162" i="5"/>
  <c r="K163" i="5" l="1"/>
  <c r="K164" i="5" l="1"/>
  <c r="K165" i="5" l="1"/>
  <c r="K166" i="5" l="1"/>
  <c r="K167" i="5" l="1"/>
  <c r="K168" i="5" l="1"/>
  <c r="K169" i="5" l="1"/>
  <c r="L168" i="5"/>
  <c r="L167" i="5" s="1"/>
  <c r="L166" i="5" s="1"/>
  <c r="L165" i="5" s="1"/>
  <c r="L164" i="5" s="1"/>
  <c r="L163" i="5" s="1"/>
  <c r="L162" i="5" s="1"/>
  <c r="K170" i="5" l="1"/>
  <c r="K171" i="5" l="1"/>
  <c r="K172" i="5" l="1"/>
  <c r="L172" i="5" l="1"/>
  <c r="L171" i="5" s="1"/>
  <c r="L170" i="5" s="1"/>
  <c r="L169" i="5" s="1"/>
  <c r="K173" i="5"/>
  <c r="K174" i="5" l="1"/>
  <c r="K175" i="5" l="1"/>
  <c r="K176" i="5" l="1"/>
  <c r="K177" i="5" l="1"/>
  <c r="K178" i="5" l="1"/>
  <c r="K179" i="5" l="1"/>
  <c r="L178" i="5"/>
  <c r="L177" i="5" s="1"/>
  <c r="L176" i="5" s="1"/>
  <c r="L175" i="5" s="1"/>
  <c r="L174" i="5" s="1"/>
  <c r="L173" i="5" s="1"/>
  <c r="K180" i="5" l="1"/>
  <c r="K181" i="5" l="1"/>
  <c r="K182" i="5" l="1"/>
  <c r="K183" i="5" l="1"/>
  <c r="K184" i="5" l="1"/>
  <c r="L184" i="5" l="1"/>
  <c r="L183" i="5" s="1"/>
  <c r="L182" i="5" s="1"/>
  <c r="L181" i="5" s="1"/>
  <c r="L180" i="5" s="1"/>
  <c r="L179" i="5" s="1"/>
  <c r="K185" i="5"/>
  <c r="K186" i="5" l="1"/>
  <c r="K187" i="5" l="1"/>
  <c r="K188" i="5" l="1"/>
  <c r="K189" i="5" l="1"/>
  <c r="K190" i="5" l="1"/>
  <c r="K191" i="5" l="1"/>
  <c r="K192" i="5" l="1"/>
  <c r="K193" i="5" l="1"/>
  <c r="K194" i="5" l="1"/>
  <c r="K195" i="5" l="1"/>
  <c r="L194" i="5"/>
  <c r="L193" i="5" s="1"/>
  <c r="L192" i="5" s="1"/>
  <c r="L191" i="5" s="1"/>
  <c r="L190" i="5" s="1"/>
  <c r="L189" i="5" s="1"/>
  <c r="L188" i="5" s="1"/>
  <c r="L187" i="5" s="1"/>
  <c r="L186" i="5" s="1"/>
  <c r="L185" i="5" s="1"/>
  <c r="K196" i="5" l="1"/>
  <c r="K197" i="5" l="1"/>
  <c r="K198" i="5" l="1"/>
  <c r="K199" i="5" l="1"/>
  <c r="K200" i="5" l="1"/>
  <c r="K201" i="5" l="1"/>
  <c r="K202" i="5" l="1"/>
  <c r="K203" i="5" l="1"/>
  <c r="K204" i="5" l="1"/>
  <c r="K205" i="5" l="1"/>
  <c r="K206" i="5" l="1"/>
  <c r="K207" i="5" l="1"/>
  <c r="K208" i="5" l="1"/>
  <c r="L208" i="5" l="1"/>
  <c r="L207" i="5" s="1"/>
  <c r="L206" i="5" s="1"/>
  <c r="L205" i="5" s="1"/>
  <c r="L204" i="5" s="1"/>
  <c r="L203" i="5" s="1"/>
  <c r="L202" i="5" s="1"/>
  <c r="L201" i="5" s="1"/>
  <c r="L200" i="5" s="1"/>
  <c r="L199" i="5" s="1"/>
  <c r="L198" i="5" s="1"/>
  <c r="L197" i="5" s="1"/>
  <c r="L196" i="5" s="1"/>
  <c r="L195" i="5" s="1"/>
  <c r="K209" i="5"/>
  <c r="K210" i="5" l="1"/>
  <c r="K211" i="5" l="1"/>
  <c r="K212" i="5" l="1"/>
  <c r="K213" i="5" l="1"/>
  <c r="K214" i="5" l="1"/>
  <c r="L213" i="5"/>
  <c r="L212" i="5" s="1"/>
  <c r="L211" i="5" s="1"/>
  <c r="L210" i="5" s="1"/>
  <c r="L209" i="5" s="1"/>
  <c r="K215" i="5" l="1"/>
  <c r="K216" i="5" l="1"/>
  <c r="K217" i="5" l="1"/>
  <c r="K218" i="5" l="1"/>
  <c r="K219" i="5" l="1"/>
  <c r="K220" i="5" l="1"/>
  <c r="K221" i="5" l="1"/>
  <c r="K222" i="5" l="1"/>
  <c r="K223" i="5" l="1"/>
  <c r="K224" i="5" l="1"/>
  <c r="K225" i="5" l="1"/>
  <c r="K226" i="5" l="1"/>
  <c r="K227" i="5" l="1"/>
  <c r="L226" i="5"/>
  <c r="L225" i="5" s="1"/>
  <c r="L224" i="5" s="1"/>
  <c r="L223" i="5" s="1"/>
  <c r="L222" i="5" s="1"/>
  <c r="L221" i="5" s="1"/>
  <c r="L220" i="5" s="1"/>
  <c r="L219" i="5" s="1"/>
  <c r="L218" i="5" s="1"/>
  <c r="L217" i="5" s="1"/>
  <c r="L216" i="5" s="1"/>
  <c r="L215" i="5" s="1"/>
  <c r="L214" i="5" s="1"/>
  <c r="K228" i="5" l="1"/>
  <c r="K229" i="5" l="1"/>
  <c r="K230" i="5" l="1"/>
  <c r="K231" i="5" l="1"/>
  <c r="K232" i="5" l="1"/>
  <c r="K233" i="5" l="1"/>
  <c r="K234" i="5" l="1"/>
  <c r="L233" i="5"/>
  <c r="L232" i="5" s="1"/>
  <c r="L231" i="5" s="1"/>
  <c r="L230" i="5" s="1"/>
  <c r="L229" i="5" s="1"/>
  <c r="L228" i="5" s="1"/>
  <c r="L227" i="5" s="1"/>
  <c r="K235" i="5" l="1"/>
  <c r="K236" i="5" l="1"/>
  <c r="K237" i="5" l="1"/>
  <c r="K238" i="5" l="1"/>
  <c r="L237" i="5"/>
  <c r="L236" i="5" s="1"/>
  <c r="L235" i="5" s="1"/>
  <c r="L234" i="5" s="1"/>
  <c r="K239" i="5" l="1"/>
  <c r="K240" i="5" l="1"/>
  <c r="L240" i="5" l="1"/>
  <c r="L239" i="5" s="1"/>
  <c r="L238" i="5" s="1"/>
  <c r="K241" i="5"/>
  <c r="K242" i="5" l="1"/>
  <c r="K243" i="5" l="1"/>
  <c r="K244" i="5" l="1"/>
  <c r="K245" i="5" l="1"/>
  <c r="K246" i="5" l="1"/>
  <c r="K247" i="5" l="1"/>
  <c r="K248" i="5" l="1"/>
  <c r="K249" i="5" l="1"/>
  <c r="K250" i="5" l="1"/>
  <c r="K251" i="5" l="1"/>
  <c r="L251" i="5" l="1"/>
  <c r="L250" i="5" s="1"/>
  <c r="L249" i="5" s="1"/>
  <c r="L248" i="5" s="1"/>
  <c r="L247" i="5" s="1"/>
  <c r="L246" i="5" s="1"/>
  <c r="L245" i="5" s="1"/>
  <c r="L244" i="5" s="1"/>
  <c r="L243" i="5" s="1"/>
  <c r="L242" i="5" s="1"/>
  <c r="L241" i="5" s="1"/>
  <c r="K252" i="5"/>
  <c r="K253" i="5" l="1"/>
  <c r="K254" i="5" l="1"/>
  <c r="K255" i="5" l="1"/>
  <c r="K256" i="5" l="1"/>
  <c r="K257" i="5" l="1"/>
  <c r="K258" i="5" l="1"/>
  <c r="K259" i="5" l="1"/>
  <c r="K260" i="5" l="1"/>
  <c r="K261" i="5" l="1"/>
  <c r="K262" i="5" l="1"/>
  <c r="K263" i="5" l="1"/>
  <c r="K264" i="5" l="1"/>
  <c r="L263" i="5"/>
  <c r="L262" i="5" s="1"/>
  <c r="L261" i="5" s="1"/>
  <c r="L260" i="5" s="1"/>
  <c r="L259" i="5" s="1"/>
  <c r="L258" i="5" s="1"/>
  <c r="L257" i="5" s="1"/>
  <c r="L256" i="5" s="1"/>
  <c r="L255" i="5" s="1"/>
  <c r="L254" i="5" s="1"/>
  <c r="L253" i="5" s="1"/>
  <c r="L252" i="5" s="1"/>
  <c r="K265" i="5" l="1"/>
  <c r="K266" i="5" l="1"/>
  <c r="K267" i="5" l="1"/>
  <c r="K268" i="5" l="1"/>
  <c r="L268" i="5" l="1"/>
  <c r="L267" i="5" s="1"/>
  <c r="L266" i="5" s="1"/>
  <c r="L265" i="5" s="1"/>
  <c r="L264" i="5" s="1"/>
  <c r="K269" i="5"/>
  <c r="K270" i="5" l="1"/>
  <c r="K271" i="5" l="1"/>
  <c r="K272" i="5" l="1"/>
  <c r="K273" i="5" l="1"/>
  <c r="K274" i="5" l="1"/>
  <c r="K275" i="5" l="1"/>
  <c r="K276" i="5" l="1"/>
  <c r="K277" i="5" l="1"/>
  <c r="K278" i="5" l="1"/>
  <c r="K279" i="5" l="1"/>
  <c r="K280" i="5" l="1"/>
  <c r="K281" i="5" l="1"/>
  <c r="K282" i="5" l="1"/>
  <c r="K283" i="5" l="1"/>
  <c r="L283" i="5" l="1"/>
  <c r="L282" i="5" s="1"/>
  <c r="L281" i="5" s="1"/>
  <c r="L280" i="5" s="1"/>
  <c r="L279" i="5" s="1"/>
  <c r="L278" i="5" s="1"/>
  <c r="L277" i="5" s="1"/>
  <c r="L276" i="5" s="1"/>
  <c r="L275" i="5" s="1"/>
  <c r="L274" i="5" s="1"/>
  <c r="L273" i="5" s="1"/>
  <c r="L272" i="5" s="1"/>
  <c r="L271" i="5" s="1"/>
  <c r="L270" i="5" s="1"/>
  <c r="L269" i="5" s="1"/>
  <c r="K284" i="5"/>
  <c r="K285" i="5" l="1"/>
  <c r="K286" i="5" l="1"/>
  <c r="K287" i="5" l="1"/>
  <c r="K288" i="5" l="1"/>
  <c r="K289" i="5" l="1"/>
  <c r="K290" i="5" l="1"/>
  <c r="K291" i="5" l="1"/>
  <c r="K292" i="5" l="1"/>
  <c r="K293" i="5" l="1"/>
  <c r="K294" i="5" l="1"/>
  <c r="K295" i="5" l="1"/>
  <c r="L294" i="5"/>
  <c r="L293" i="5" s="1"/>
  <c r="L292" i="5" s="1"/>
  <c r="L291" i="5" s="1"/>
  <c r="L290" i="5" s="1"/>
  <c r="L289" i="5" s="1"/>
  <c r="L288" i="5" s="1"/>
  <c r="L287" i="5" s="1"/>
  <c r="L286" i="5" s="1"/>
  <c r="L285" i="5" s="1"/>
  <c r="L284" i="5" s="1"/>
  <c r="K296" i="5" l="1"/>
  <c r="K297" i="5" l="1"/>
  <c r="K298" i="5" l="1"/>
  <c r="L297" i="5"/>
  <c r="L296" i="5" s="1"/>
  <c r="L295" i="5" s="1"/>
  <c r="K299" i="5" l="1"/>
  <c r="K300" i="5" l="1"/>
  <c r="K301" i="5" l="1"/>
  <c r="K302" i="5" l="1"/>
  <c r="K303" i="5" l="1"/>
  <c r="L302" i="5"/>
  <c r="L301" i="5" s="1"/>
  <c r="L300" i="5" s="1"/>
  <c r="L299" i="5" s="1"/>
  <c r="L298" i="5" s="1"/>
  <c r="K304" i="5" l="1"/>
  <c r="K305" i="5" l="1"/>
  <c r="K306" i="5" l="1"/>
  <c r="K307" i="5" l="1"/>
  <c r="K308" i="5" l="1"/>
  <c r="K309" i="5" l="1"/>
  <c r="K310" i="5" l="1"/>
  <c r="K311" i="5" l="1"/>
  <c r="K312" i="5" l="1"/>
  <c r="L311" i="5"/>
  <c r="L310" i="5" s="1"/>
  <c r="L309" i="5" s="1"/>
  <c r="L308" i="5" s="1"/>
  <c r="L307" i="5" s="1"/>
  <c r="L306" i="5" s="1"/>
  <c r="L305" i="5" s="1"/>
  <c r="L304" i="5" s="1"/>
  <c r="L303" i="5" s="1"/>
  <c r="K313" i="5" l="1"/>
  <c r="K314" i="5" l="1"/>
  <c r="K315" i="5" l="1"/>
  <c r="K316" i="5" l="1"/>
  <c r="K317" i="5" l="1"/>
  <c r="K318" i="5" l="1"/>
  <c r="K319" i="5" l="1"/>
  <c r="K320" i="5" l="1"/>
  <c r="K321" i="5" l="1"/>
  <c r="K322" i="5" l="1"/>
  <c r="K323" i="5" l="1"/>
  <c r="K324" i="5" l="1"/>
  <c r="K325" i="5" l="1"/>
  <c r="K326" i="5" l="1"/>
  <c r="K327" i="5" l="1"/>
  <c r="K328" i="5" l="1"/>
  <c r="K329" i="5" l="1"/>
  <c r="L329" i="5" l="1"/>
  <c r="L328" i="5" s="1"/>
  <c r="L327" i="5" s="1"/>
  <c r="L326" i="5" s="1"/>
  <c r="L325" i="5" s="1"/>
  <c r="L324" i="5" s="1"/>
  <c r="L323" i="5" s="1"/>
  <c r="L322" i="5" s="1"/>
  <c r="L321" i="5" s="1"/>
  <c r="L320" i="5" s="1"/>
  <c r="L319" i="5" s="1"/>
  <c r="L318" i="5" s="1"/>
  <c r="L317" i="5" s="1"/>
  <c r="L316" i="5" s="1"/>
  <c r="L315" i="5" s="1"/>
  <c r="L314" i="5" s="1"/>
  <c r="L313" i="5" s="1"/>
  <c r="L312" i="5" s="1"/>
  <c r="K330" i="5"/>
  <c r="K331" i="5" l="1"/>
  <c r="K332" i="5" l="1"/>
  <c r="K333" i="5" l="1"/>
  <c r="K334" i="5" l="1"/>
  <c r="K335" i="5" l="1"/>
  <c r="K336" i="5" l="1"/>
  <c r="K337" i="5" l="1"/>
  <c r="K338" i="5" l="1"/>
  <c r="K339" i="5" l="1"/>
  <c r="K340" i="5" l="1"/>
  <c r="K341" i="5" l="1"/>
  <c r="K342" i="5" l="1"/>
  <c r="K343" i="5" l="1"/>
  <c r="K344" i="5" l="1"/>
  <c r="K345" i="5" l="1"/>
  <c r="K346" i="5" l="1"/>
  <c r="K347" i="5" l="1"/>
  <c r="K348" i="5" l="1"/>
  <c r="K349" i="5" l="1"/>
  <c r="K350" i="5" l="1"/>
  <c r="K351" i="5" l="1"/>
  <c r="K352" i="5" l="1"/>
  <c r="K353" i="5" l="1"/>
  <c r="K354" i="5" l="1"/>
  <c r="K355" i="5" l="1"/>
  <c r="K356" i="5" l="1"/>
  <c r="K357" i="5" l="1"/>
  <c r="L357" i="5" l="1"/>
  <c r="L356" i="5" s="1"/>
  <c r="L355" i="5" s="1"/>
  <c r="L354" i="5" s="1"/>
  <c r="L353" i="5" s="1"/>
  <c r="L352" i="5" s="1"/>
  <c r="L351" i="5" s="1"/>
  <c r="L350" i="5" s="1"/>
  <c r="L349" i="5" s="1"/>
  <c r="L348" i="5" s="1"/>
  <c r="L347" i="5" s="1"/>
  <c r="L346" i="5" s="1"/>
  <c r="L345" i="5" s="1"/>
  <c r="L344" i="5" s="1"/>
  <c r="L343" i="5" s="1"/>
  <c r="L342" i="5" s="1"/>
  <c r="L341" i="5" s="1"/>
  <c r="L340" i="5" s="1"/>
  <c r="L339" i="5" s="1"/>
  <c r="L338" i="5" s="1"/>
  <c r="L337" i="5" s="1"/>
  <c r="L336" i="5" s="1"/>
  <c r="L335" i="5" s="1"/>
  <c r="L334" i="5" s="1"/>
  <c r="L333" i="5" s="1"/>
  <c r="L332" i="5" s="1"/>
  <c r="L331" i="5" s="1"/>
  <c r="L330" i="5" s="1"/>
  <c r="K358" i="5"/>
  <c r="K359" i="5" l="1"/>
  <c r="K360" i="5" l="1"/>
  <c r="K361" i="5" l="1"/>
  <c r="K362" i="5" l="1"/>
  <c r="K363" i="5" l="1"/>
  <c r="K364" i="5" l="1"/>
  <c r="K365" i="5" l="1"/>
  <c r="K366" i="5" l="1"/>
  <c r="K367" i="5" l="1"/>
  <c r="K368" i="5" l="1"/>
  <c r="K369" i="5" l="1"/>
  <c r="K370" i="5" l="1"/>
  <c r="K371" i="5" l="1"/>
  <c r="K372" i="5" l="1"/>
  <c r="K373" i="5" l="1"/>
  <c r="K374" i="5" l="1"/>
  <c r="K375" i="5" l="1"/>
  <c r="K376" i="5" l="1"/>
  <c r="K377" i="5" l="1"/>
  <c r="K378" i="5" l="1"/>
  <c r="L377" i="5"/>
  <c r="L376" i="5" s="1"/>
  <c r="L375" i="5" s="1"/>
  <c r="L374" i="5" s="1"/>
  <c r="L373" i="5" s="1"/>
  <c r="L372" i="5" s="1"/>
  <c r="L371" i="5" s="1"/>
  <c r="L370" i="5" s="1"/>
  <c r="L369" i="5" s="1"/>
  <c r="L368" i="5" s="1"/>
  <c r="L367" i="5" s="1"/>
  <c r="L366" i="5" s="1"/>
  <c r="L365" i="5" s="1"/>
  <c r="L364" i="5" s="1"/>
  <c r="L363" i="5" s="1"/>
  <c r="L362" i="5" s="1"/>
  <c r="L361" i="5" s="1"/>
  <c r="L360" i="5" s="1"/>
  <c r="L359" i="5" s="1"/>
  <c r="L358" i="5" s="1"/>
  <c r="K379" i="5" l="1"/>
  <c r="K380" i="5" l="1"/>
  <c r="K381" i="5" l="1"/>
  <c r="K382" i="5" l="1"/>
  <c r="K383" i="5" l="1"/>
  <c r="K384" i="5" l="1"/>
  <c r="K385" i="5" l="1"/>
  <c r="K386" i="5" l="1"/>
  <c r="K387" i="5" l="1"/>
  <c r="K388" i="5" l="1"/>
  <c r="K389" i="5" l="1"/>
  <c r="K390" i="5" l="1"/>
  <c r="K391" i="5" l="1"/>
  <c r="K392" i="5" l="1"/>
  <c r="K393" i="5" l="1"/>
  <c r="K394" i="5" l="1"/>
  <c r="K395" i="5" l="1"/>
  <c r="K396" i="5" l="1"/>
  <c r="K397" i="5" l="1"/>
  <c r="K398" i="5" l="1"/>
  <c r="K399" i="5" l="1"/>
  <c r="K400" i="5" l="1"/>
  <c r="K401" i="5" l="1"/>
  <c r="K402" i="5" l="1"/>
  <c r="K403" i="5" l="1"/>
  <c r="K404" i="5" l="1"/>
  <c r="K405" i="5" l="1"/>
  <c r="K406" i="5" l="1"/>
  <c r="K407" i="5" l="1"/>
  <c r="K408" i="5" l="1"/>
  <c r="K409" i="5" l="1"/>
  <c r="K410" i="5" l="1"/>
  <c r="K411" i="5" l="1"/>
  <c r="K412" i="5" l="1"/>
  <c r="K413" i="5" l="1"/>
  <c r="K414" i="5" l="1"/>
  <c r="K415" i="5" l="1"/>
  <c r="L414" i="5"/>
  <c r="L413" i="5" s="1"/>
  <c r="L412" i="5" s="1"/>
  <c r="L411" i="5" s="1"/>
  <c r="L410" i="5" s="1"/>
  <c r="L409" i="5" s="1"/>
  <c r="L408" i="5" s="1"/>
  <c r="L407" i="5" s="1"/>
  <c r="L406" i="5" s="1"/>
  <c r="L405" i="5" s="1"/>
  <c r="L404" i="5" s="1"/>
  <c r="L403" i="5" s="1"/>
  <c r="L402" i="5" s="1"/>
  <c r="L401" i="5" s="1"/>
  <c r="L400" i="5" s="1"/>
  <c r="L399" i="5" s="1"/>
  <c r="L398" i="5" s="1"/>
  <c r="L397" i="5" s="1"/>
  <c r="L396" i="5" s="1"/>
  <c r="L395" i="5" s="1"/>
  <c r="L394" i="5" s="1"/>
  <c r="L393" i="5" s="1"/>
  <c r="L392" i="5" s="1"/>
  <c r="L391" i="5" s="1"/>
  <c r="L390" i="5" s="1"/>
  <c r="L389" i="5" s="1"/>
  <c r="L388" i="5" s="1"/>
  <c r="L387" i="5" s="1"/>
  <c r="L386" i="5" s="1"/>
  <c r="L385" i="5" s="1"/>
  <c r="L384" i="5" s="1"/>
  <c r="L383" i="5" s="1"/>
  <c r="L382" i="5" s="1"/>
  <c r="L381" i="5" s="1"/>
  <c r="L380" i="5" s="1"/>
  <c r="L379" i="5" s="1"/>
  <c r="L378" i="5" s="1"/>
  <c r="K416" i="5" l="1"/>
  <c r="K417" i="5" l="1"/>
  <c r="K418" i="5" l="1"/>
  <c r="K419" i="5" l="1"/>
  <c r="K420" i="5" l="1"/>
  <c r="K421" i="5" l="1"/>
  <c r="K422" i="5" l="1"/>
  <c r="K423" i="5" l="1"/>
  <c r="K424" i="5" l="1"/>
  <c r="K425" i="5" l="1"/>
  <c r="K426" i="5" l="1"/>
  <c r="K427" i="5" l="1"/>
  <c r="K428" i="5" l="1"/>
  <c r="K429" i="5" l="1"/>
  <c r="K430" i="5" l="1"/>
  <c r="K431" i="5" l="1"/>
  <c r="K432" i="5" l="1"/>
  <c r="K433" i="5" l="1"/>
  <c r="K434" i="5" l="1"/>
  <c r="K435" i="5" l="1"/>
  <c r="K436" i="5" l="1"/>
  <c r="K437" i="5" l="1"/>
  <c r="K438" i="5" l="1"/>
  <c r="K439" i="5" l="1"/>
  <c r="K440" i="5" l="1"/>
  <c r="K441" i="5" l="1"/>
  <c r="K442" i="5" l="1"/>
  <c r="K443" i="5" l="1"/>
  <c r="K444" i="5" l="1"/>
  <c r="K445" i="5" l="1"/>
  <c r="K446" i="5" l="1"/>
  <c r="K447" i="5" l="1"/>
  <c r="K448" i="5" l="1"/>
  <c r="K449" i="5" l="1"/>
  <c r="K450" i="5" l="1"/>
  <c r="K451" i="5" l="1"/>
  <c r="K452" i="5" l="1"/>
  <c r="K453" i="5" l="1"/>
  <c r="K454" i="5" l="1"/>
  <c r="K455" i="5" l="1"/>
  <c r="K456" i="5" l="1"/>
  <c r="K457" i="5" l="1"/>
  <c r="K458" i="5" l="1"/>
  <c r="K459" i="5" l="1"/>
  <c r="K460" i="5" l="1"/>
  <c r="K461" i="5" l="1"/>
  <c r="K462" i="5" l="1"/>
  <c r="K463" i="5" l="1"/>
  <c r="K464" i="5" l="1"/>
  <c r="K465" i="5" l="1"/>
  <c r="K466" i="5" l="1"/>
  <c r="K467" i="5" l="1"/>
  <c r="K468" i="5" l="1"/>
  <c r="K469" i="5" l="1"/>
  <c r="K470" i="5" l="1"/>
  <c r="K471" i="5" l="1"/>
  <c r="K472" i="5" l="1"/>
  <c r="K473" i="5" l="1"/>
  <c r="K474" i="5" l="1"/>
  <c r="K475" i="5" l="1"/>
  <c r="K476" i="5" l="1"/>
  <c r="K477" i="5" l="1"/>
  <c r="K478" i="5" l="1"/>
  <c r="K479" i="5" l="1"/>
  <c r="K480" i="5" l="1"/>
  <c r="K481" i="5" l="1"/>
  <c r="K482" i="5" l="1"/>
  <c r="K483" i="5" l="1"/>
  <c r="K484" i="5" l="1"/>
  <c r="K485" i="5" l="1"/>
  <c r="K486" i="5" l="1"/>
  <c r="K487" i="5" l="1"/>
  <c r="K488" i="5" l="1"/>
  <c r="K489" i="5" l="1"/>
  <c r="K490" i="5" l="1"/>
  <c r="K491" i="5" l="1"/>
  <c r="K492" i="5" l="1"/>
  <c r="K493" i="5" l="1"/>
  <c r="K494" i="5" l="1"/>
  <c r="K495" i="5" l="1"/>
  <c r="K496" i="5" l="1"/>
  <c r="K497" i="5" l="1"/>
  <c r="K498" i="5" l="1"/>
  <c r="K499" i="5" l="1"/>
  <c r="K500" i="5" l="1"/>
  <c r="K501" i="5" l="1"/>
  <c r="K502" i="5" l="1"/>
  <c r="K503" i="5" l="1"/>
  <c r="K504" i="5" l="1"/>
  <c r="K505" i="5" l="1"/>
  <c r="K506" i="5" l="1"/>
  <c r="K507" i="5" l="1"/>
  <c r="K508" i="5" l="1"/>
  <c r="K509" i="5" l="1"/>
  <c r="K510" i="5" l="1"/>
  <c r="K511" i="5" l="1"/>
  <c r="K512" i="5" l="1"/>
  <c r="K513" i="5" s="1"/>
  <c r="K514" i="5" s="1"/>
  <c r="K515" i="5" s="1"/>
  <c r="K516" i="5" s="1"/>
  <c r="K517" i="5" s="1"/>
  <c r="K518" i="5" s="1"/>
  <c r="K519" i="5" s="1"/>
  <c r="K520" i="5" s="1"/>
  <c r="K521" i="5" s="1"/>
  <c r="K522" i="5" s="1"/>
  <c r="K523" i="5" s="1"/>
  <c r="K524" i="5" s="1"/>
  <c r="K525" i="5" s="1"/>
  <c r="K526" i="5" s="1"/>
  <c r="K527" i="5" s="1"/>
  <c r="K528" i="5" s="1"/>
  <c r="K529" i="5" s="1"/>
  <c r="K530" i="5" s="1"/>
  <c r="K531" i="5" s="1"/>
  <c r="K532" i="5" s="1"/>
  <c r="K533" i="5" s="1"/>
  <c r="K534" i="5" s="1"/>
  <c r="K535" i="5" s="1"/>
  <c r="K536" i="5" s="1"/>
  <c r="K537" i="5" s="1"/>
  <c r="K538" i="5" s="1"/>
  <c r="K539" i="5" s="1"/>
  <c r="K540" i="5" s="1"/>
  <c r="K541" i="5" s="1"/>
  <c r="K542" i="5" s="1"/>
  <c r="K543" i="5" s="1"/>
  <c r="K544" i="5" l="1"/>
  <c r="L544" i="5" s="1"/>
  <c r="L543" i="5" s="1"/>
  <c r="L542" i="5" s="1"/>
  <c r="L541" i="5" s="1"/>
  <c r="L540" i="5" s="1"/>
  <c r="L539" i="5" s="1"/>
  <c r="L538" i="5" s="1"/>
  <c r="L537" i="5" s="1"/>
  <c r="L536" i="5" s="1"/>
  <c r="L535" i="5" s="1"/>
  <c r="L534" i="5" s="1"/>
  <c r="L533" i="5" s="1"/>
  <c r="L532" i="5" s="1"/>
  <c r="L531" i="5" s="1"/>
  <c r="L530" i="5" s="1"/>
  <c r="L529" i="5" s="1"/>
  <c r="L528" i="5" s="1"/>
  <c r="L527" i="5" s="1"/>
  <c r="L526" i="5" s="1"/>
  <c r="L525" i="5" s="1"/>
  <c r="L524" i="5" s="1"/>
  <c r="L523" i="5" s="1"/>
  <c r="L522" i="5" s="1"/>
  <c r="L521" i="5" s="1"/>
  <c r="L520" i="5" s="1"/>
  <c r="L519" i="5" s="1"/>
  <c r="L518" i="5" s="1"/>
  <c r="L517" i="5" s="1"/>
  <c r="L516" i="5" s="1"/>
  <c r="L515" i="5" s="1"/>
  <c r="L514" i="5" s="1"/>
  <c r="L513" i="5" s="1"/>
  <c r="L512" i="5" s="1"/>
  <c r="L511" i="5" s="1"/>
  <c r="L510" i="5" s="1"/>
  <c r="W104" i="2" l="1"/>
  <c r="Y103" i="2"/>
  <c r="X103" i="2"/>
  <c r="W103" i="2"/>
  <c r="K103" i="2"/>
  <c r="I103" i="2"/>
  <c r="Y102" i="2"/>
  <c r="X102" i="2"/>
  <c r="W102" i="2"/>
  <c r="Y101" i="2"/>
  <c r="X101" i="2"/>
  <c r="W101" i="2"/>
  <c r="Y100" i="2"/>
  <c r="X100" i="2"/>
  <c r="W100" i="2"/>
  <c r="I98" i="2"/>
  <c r="H103" i="2" s="1"/>
  <c r="O97" i="2"/>
  <c r="O98" i="2" s="1"/>
  <c r="J103" i="2" s="1"/>
  <c r="F98" i="2" l="1"/>
  <c r="G103" i="2" s="1"/>
  <c r="Z102" i="2"/>
  <c r="X104" i="2"/>
  <c r="Z103" i="2"/>
  <c r="Z101" i="2"/>
  <c r="Z100" i="2"/>
  <c r="Y104" i="2"/>
  <c r="Z104" i="2" l="1"/>
  <c r="L509" i="5" l="1"/>
  <c r="L508" i="5" s="1"/>
  <c r="L507" i="5" s="1"/>
  <c r="L506" i="5" s="1"/>
  <c r="L505" i="5" s="1"/>
  <c r="L504" i="5" s="1"/>
  <c r="L503" i="5" s="1"/>
  <c r="L502" i="5" s="1"/>
  <c r="L501" i="5" s="1"/>
  <c r="L500" i="5" s="1"/>
  <c r="L499" i="5" s="1"/>
  <c r="L498" i="5" s="1"/>
  <c r="L497" i="5" s="1"/>
  <c r="L496" i="5" s="1"/>
  <c r="L495" i="5" s="1"/>
  <c r="L494" i="5" s="1"/>
  <c r="L493" i="5" s="1"/>
  <c r="L492" i="5" s="1"/>
  <c r="L491" i="5" s="1"/>
  <c r="L490" i="5" s="1"/>
  <c r="L489" i="5" s="1"/>
  <c r="L488" i="5" s="1"/>
  <c r="L487" i="5" s="1"/>
  <c r="L486" i="5" s="1"/>
  <c r="L485" i="5" s="1"/>
  <c r="L484" i="5" s="1"/>
  <c r="L483" i="5" s="1"/>
  <c r="L482" i="5" s="1"/>
  <c r="L481" i="5" s="1"/>
  <c r="L480" i="5" s="1"/>
  <c r="L479" i="5" s="1"/>
  <c r="L478" i="5" s="1"/>
  <c r="L477" i="5" s="1"/>
  <c r="L476" i="5" s="1"/>
  <c r="L475" i="5" s="1"/>
  <c r="L474" i="5" s="1"/>
  <c r="L473" i="5" s="1"/>
  <c r="L472" i="5" s="1"/>
  <c r="L471" i="5" s="1"/>
  <c r="L470" i="5" s="1"/>
  <c r="L469" i="5" s="1"/>
  <c r="L468" i="5" s="1"/>
  <c r="L467" i="5" s="1"/>
  <c r="L466" i="5" s="1"/>
  <c r="L465" i="5" s="1"/>
  <c r="L464" i="5" s="1"/>
  <c r="L463" i="5" s="1"/>
  <c r="L462" i="5" s="1"/>
  <c r="L461" i="5" s="1"/>
  <c r="L460" i="5" s="1"/>
  <c r="L459" i="5" s="1"/>
  <c r="L458" i="5" s="1"/>
  <c r="L457" i="5" s="1"/>
  <c r="L456" i="5" s="1"/>
  <c r="L455" i="5" s="1"/>
  <c r="L454" i="5" s="1"/>
  <c r="L453" i="5" s="1"/>
  <c r="L452" i="5" s="1"/>
  <c r="L451" i="5" s="1"/>
  <c r="L450" i="5" s="1"/>
  <c r="L449" i="5" s="1"/>
  <c r="L448" i="5" s="1"/>
  <c r="L447" i="5" s="1"/>
  <c r="L446" i="5" s="1"/>
  <c r="L445" i="5" s="1"/>
  <c r="L444" i="5" s="1"/>
  <c r="L443" i="5" s="1"/>
  <c r="L442" i="5" s="1"/>
  <c r="L441" i="5" s="1"/>
  <c r="L440" i="5" s="1"/>
  <c r="L439" i="5" s="1"/>
  <c r="L438" i="5" s="1"/>
  <c r="L437" i="5" s="1"/>
  <c r="L436" i="5" s="1"/>
  <c r="L435" i="5" s="1"/>
  <c r="L434" i="5" s="1"/>
  <c r="L433" i="5" s="1"/>
  <c r="L432" i="5" s="1"/>
  <c r="L431" i="5" s="1"/>
  <c r="L430" i="5" s="1"/>
  <c r="L429" i="5" s="1"/>
  <c r="L428" i="5" s="1"/>
  <c r="L427" i="5" s="1"/>
  <c r="L426" i="5" s="1"/>
  <c r="L425" i="5" s="1"/>
  <c r="L424" i="5" s="1"/>
  <c r="L423" i="5" s="1"/>
  <c r="L422" i="5" s="1"/>
  <c r="L421" i="5" s="1"/>
  <c r="L420" i="5" s="1"/>
  <c r="L419" i="5" s="1"/>
  <c r="L418" i="5" s="1"/>
  <c r="L417" i="5" s="1"/>
  <c r="L416" i="5" s="1"/>
  <c r="L415" i="5" s="1"/>
</calcChain>
</file>

<file path=xl/comments1.xml><?xml version="1.0" encoding="utf-8"?>
<comments xmlns="http://schemas.openxmlformats.org/spreadsheetml/2006/main">
  <authors>
    <author xml:space="preserve">Ahn, Thomas </author>
  </authors>
  <commentList>
    <comment ref="O95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1 assigned this week</t>
        </r>
      </text>
    </comment>
    <comment ref="F99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From last week's report. Remember to use the previous week's report to populate this. Otherwise this data is outdated.</t>
        </r>
      </text>
    </comment>
  </commentList>
</comments>
</file>

<file path=xl/sharedStrings.xml><?xml version="1.0" encoding="utf-8"?>
<sst xmlns="http://schemas.openxmlformats.org/spreadsheetml/2006/main" count="5899" uniqueCount="337">
  <si>
    <t>Number</t>
  </si>
  <si>
    <t>Priority</t>
  </si>
  <si>
    <t>Opened</t>
  </si>
  <si>
    <t>Resolved</t>
  </si>
  <si>
    <t>Closed</t>
  </si>
  <si>
    <t>Assignment Group</t>
  </si>
  <si>
    <t>Assigned to Duration</t>
  </si>
  <si>
    <t>Short description</t>
  </si>
  <si>
    <t>Category</t>
  </si>
  <si>
    <t>Subcategory</t>
  </si>
  <si>
    <t>Item</t>
  </si>
  <si>
    <t>Definition 1</t>
  </si>
  <si>
    <t>Value 1</t>
  </si>
  <si>
    <t>Created 1</t>
  </si>
  <si>
    <t>Definition 2</t>
  </si>
  <si>
    <t>Value 2</t>
  </si>
  <si>
    <t>Created 2</t>
  </si>
  <si>
    <t>Diff between Created 1 &amp; 2</t>
  </si>
  <si>
    <t>Time to resolve or close (in days)</t>
  </si>
  <si>
    <t>New Year's Day</t>
  </si>
  <si>
    <t>Wednesday</t>
  </si>
  <si>
    <t>Martin Luther King Day</t>
  </si>
  <si>
    <t>Monday</t>
  </si>
  <si>
    <t>Presidents' Day</t>
  </si>
  <si>
    <t>Memorial Day</t>
  </si>
  <si>
    <t>Independence Day</t>
  </si>
  <si>
    <t>Friday</t>
  </si>
  <si>
    <t>Labor Day</t>
  </si>
  <si>
    <t>Columbus Day</t>
  </si>
  <si>
    <t>Veterans Day</t>
  </si>
  <si>
    <t>Tuesday</t>
  </si>
  <si>
    <t>Thanksgiving Day</t>
  </si>
  <si>
    <t>Thursday</t>
  </si>
  <si>
    <t>Christmas Day</t>
  </si>
  <si>
    <t>Independence Day (observed)</t>
  </si>
  <si>
    <t>Saturday</t>
  </si>
  <si>
    <t>FAS.T1.ETOOLS</t>
  </si>
  <si>
    <t>3 - Moderate</t>
  </si>
  <si>
    <t>INC1965094</t>
  </si>
  <si>
    <t>Jesus A Flores - jesus.flores@gsa.gov</t>
  </si>
  <si>
    <t>GSA.ESS</t>
  </si>
  <si>
    <t>FAS.T2.FSS Online</t>
  </si>
  <si>
    <t>INC1964756</t>
  </si>
  <si>
    <t>INC1964527</t>
  </si>
  <si>
    <t>Hanyao Chen - david.chen@gsa.gov</t>
  </si>
  <si>
    <t>INC1964430</t>
  </si>
  <si>
    <t>FAS.T2.ETOOLS</t>
  </si>
  <si>
    <t>Anthony L Zaradich - anthony.zaradich@gsa.gov</t>
  </si>
  <si>
    <t>INC1964403</t>
  </si>
  <si>
    <t>George D Starrett - george.starrett@gsa.gov</t>
  </si>
  <si>
    <t>INC1964376</t>
  </si>
  <si>
    <t>FAS.T2.OCMS</t>
  </si>
  <si>
    <t>INC1964312</t>
  </si>
  <si>
    <t>GSA.OCFO Analysts</t>
  </si>
  <si>
    <t>PBS NAH</t>
  </si>
  <si>
    <t>INC1964173</t>
  </si>
  <si>
    <t>Jessica A Miller - jessica.a.miller@gsa.gov</t>
  </si>
  <si>
    <t>FAS.T3.ECMS</t>
  </si>
  <si>
    <t>INC1963750</t>
  </si>
  <si>
    <t>INC1963636</t>
  </si>
  <si>
    <t>Alicia L Spears - alicia.spears@gsa.gov</t>
  </si>
  <si>
    <t>Nazdar Dizeyee - nazdar.dizeyee@gsa.gov</t>
  </si>
  <si>
    <t>INC1963439</t>
  </si>
  <si>
    <t>INC1963382</t>
  </si>
  <si>
    <t>Ellen M Dile - ellen.dile@gsa.gov</t>
  </si>
  <si>
    <t>4 - Low</t>
  </si>
  <si>
    <t>INC1963368</t>
  </si>
  <si>
    <t>Eric S Risco - eric.risco@gsa.gov</t>
  </si>
  <si>
    <t>INC1963365</t>
  </si>
  <si>
    <t>INC1963350</t>
  </si>
  <si>
    <t>INC1963338</t>
  </si>
  <si>
    <t>Derek A Wilson - derek.wilson@gsa.gov</t>
  </si>
  <si>
    <t>INC1962820</t>
  </si>
  <si>
    <t>INC1962768</t>
  </si>
  <si>
    <t>Justin K Clemons - justin.clemons@gsa.gov</t>
  </si>
  <si>
    <t>INC1962737</t>
  </si>
  <si>
    <t>INC1962523</t>
  </si>
  <si>
    <t>INC1962319</t>
  </si>
  <si>
    <t>INC1962313</t>
  </si>
  <si>
    <t>INC1962291</t>
  </si>
  <si>
    <t>INC1962258</t>
  </si>
  <si>
    <t>INC1962128</t>
  </si>
  <si>
    <t>Erfan Faneian - erfan.faneian@gsa.gov</t>
  </si>
  <si>
    <t>INC1961975</t>
  </si>
  <si>
    <t>INC1961758</t>
  </si>
  <si>
    <t>INC1961362</t>
  </si>
  <si>
    <t>Jordan E Gilreath - jordan.gilreath@gsa.gov</t>
  </si>
  <si>
    <t>INC1961344</t>
  </si>
  <si>
    <t>INC1961317</t>
  </si>
  <si>
    <t>Walter W Poland - walter.poland@gsa.gov</t>
  </si>
  <si>
    <t>GSA-IT Service Desk Analysts</t>
  </si>
  <si>
    <t>INC1961281</t>
  </si>
  <si>
    <t>Montana T Radke - montana.radke@gsa.gov</t>
  </si>
  <si>
    <t>INC1961077</t>
  </si>
  <si>
    <t>INC1961061</t>
  </si>
  <si>
    <t>INC1960556</t>
  </si>
  <si>
    <t>INC1960376</t>
  </si>
  <si>
    <t>INC1960372</t>
  </si>
  <si>
    <t>INC1960083</t>
  </si>
  <si>
    <t>FAS.T4.ECMS</t>
  </si>
  <si>
    <t>INC1959715</t>
  </si>
  <si>
    <t>Jwo-Yuh Liu - jwo-yuh.liu@gsa.gov</t>
  </si>
  <si>
    <t>INC1959572</t>
  </si>
  <si>
    <t>INC1959359</t>
  </si>
  <si>
    <t>INC1959309</t>
  </si>
  <si>
    <t>INC1959229</t>
  </si>
  <si>
    <t>INC1959010</t>
  </si>
  <si>
    <t>Justin H Kelly - justin.kelly@gsa.gov</t>
  </si>
  <si>
    <t>INC1958749</t>
  </si>
  <si>
    <t>INC1958697</t>
  </si>
  <si>
    <t>INC1958289</t>
  </si>
  <si>
    <t>Mollie M Pickron - mollie.pickron@gsa.gov</t>
  </si>
  <si>
    <t>INC1958018</t>
  </si>
  <si>
    <t>INC1957563</t>
  </si>
  <si>
    <t>INC1957503</t>
  </si>
  <si>
    <t>INC1957434</t>
  </si>
  <si>
    <t>INC1956892</t>
  </si>
  <si>
    <t>INC1956773</t>
  </si>
  <si>
    <t>Norman J Rapalee - jay.rapalee@gsa.gov</t>
  </si>
  <si>
    <t>INC1956666</t>
  </si>
  <si>
    <t>INC1956603</t>
  </si>
  <si>
    <t>INC1955714</t>
  </si>
  <si>
    <t>Sharif T Aboulnaga - sharif.aboulnaga@gsa.gov</t>
  </si>
  <si>
    <t>GSA.EASi.Tier2</t>
  </si>
  <si>
    <t>INC1954100</t>
  </si>
  <si>
    <t>INC1952858</t>
  </si>
  <si>
    <t>INC1952665</t>
  </si>
  <si>
    <t>INC1952122</t>
  </si>
  <si>
    <t>INC1951992</t>
  </si>
  <si>
    <t>INC1951852</t>
  </si>
  <si>
    <t>INC1951757</t>
  </si>
  <si>
    <t>INC1951187</t>
  </si>
  <si>
    <t>INC1951153</t>
  </si>
  <si>
    <t>INC1951096</t>
  </si>
  <si>
    <t>INC1950329</t>
  </si>
  <si>
    <t>INC1948949</t>
  </si>
  <si>
    <t>INC1946302</t>
  </si>
  <si>
    <t>INC1945525</t>
  </si>
  <si>
    <t>INC1945364</t>
  </si>
  <si>
    <t>INC1944841</t>
  </si>
  <si>
    <t>INC1942401</t>
  </si>
  <si>
    <t>INC1941276</t>
  </si>
  <si>
    <t>INC1940214</t>
  </si>
  <si>
    <t>INC1939851</t>
  </si>
  <si>
    <t>INC1936957</t>
  </si>
  <si>
    <t>INC1936820</t>
  </si>
  <si>
    <t>INC1936776</t>
  </si>
  <si>
    <t>Kevin M Coleman - kevin.coleman@gsa.gov</t>
  </si>
  <si>
    <t>INC1936446</t>
  </si>
  <si>
    <t>INC1935954</t>
  </si>
  <si>
    <t>INC1933550</t>
  </si>
  <si>
    <t>Kanakavalli Jeganathan - kanakavalli.jeganathan@gsa.gov</t>
  </si>
  <si>
    <t>INC1929683</t>
  </si>
  <si>
    <t xml:space="preserve">FAS.T3.SST </t>
  </si>
  <si>
    <t>INC1927114</t>
  </si>
  <si>
    <t>Daniel W Starcher - daniel.starcher@gsa.gov</t>
  </si>
  <si>
    <t>INC1926965</t>
  </si>
  <si>
    <t>INC1925596</t>
  </si>
  <si>
    <t>INC1921573</t>
  </si>
  <si>
    <t>INC1921045</t>
  </si>
  <si>
    <t>INC1921010</t>
  </si>
  <si>
    <t>INC1919939</t>
  </si>
  <si>
    <t>INC1919928</t>
  </si>
  <si>
    <t>INC1916276</t>
  </si>
  <si>
    <t>Sonja J Simpkins - sonja.simpkins@gsa.gov</t>
  </si>
  <si>
    <t>INC1914449</t>
  </si>
  <si>
    <t>INC1913590</t>
  </si>
  <si>
    <t>INC1913558</t>
  </si>
  <si>
    <t>INC1912719</t>
  </si>
  <si>
    <t>INC1910537</t>
  </si>
  <si>
    <t>INC1908457</t>
  </si>
  <si>
    <t>INC1906805</t>
  </si>
  <si>
    <t>INC1899722</t>
  </si>
  <si>
    <t>INC1897475</t>
  </si>
  <si>
    <t>INC1896746</t>
  </si>
  <si>
    <t>INC1894042</t>
  </si>
  <si>
    <t>INC1891809</t>
  </si>
  <si>
    <t>INC1890662</t>
  </si>
  <si>
    <t>INC1890545</t>
  </si>
  <si>
    <t>INC1890447</t>
  </si>
  <si>
    <t>INC1885007</t>
  </si>
  <si>
    <t>INC1884297</t>
  </si>
  <si>
    <t>INC1882983</t>
  </si>
  <si>
    <t>INC1882904</t>
  </si>
  <si>
    <t>INC1881275</t>
  </si>
  <si>
    <t>INC1860615</t>
  </si>
  <si>
    <t>INC1857347</t>
  </si>
  <si>
    <t>Aisha Nazam - aisha.nazam@gsa.gov</t>
  </si>
  <si>
    <t>INC1837028</t>
  </si>
  <si>
    <t>INC1828003</t>
  </si>
  <si>
    <t>INC1827507</t>
  </si>
  <si>
    <t>INC1825308</t>
  </si>
  <si>
    <t>INC1823553</t>
  </si>
  <si>
    <t>INC1811961</t>
  </si>
  <si>
    <t>Mark A Tumbaga - mark.tumbaga@gsa.gov</t>
  </si>
  <si>
    <t>INC1809262</t>
  </si>
  <si>
    <t>INC1793300</t>
  </si>
  <si>
    <t>INC1786165</t>
  </si>
  <si>
    <t>INC1783059</t>
  </si>
  <si>
    <t>INC1775489</t>
  </si>
  <si>
    <t>GSA.OCFO.SD</t>
  </si>
  <si>
    <t>INC1759170</t>
  </si>
  <si>
    <t>INC1746342</t>
  </si>
  <si>
    <t>INC1730915</t>
  </si>
  <si>
    <t>INC1726984</t>
  </si>
  <si>
    <t>INC1724450</t>
  </si>
  <si>
    <t>INC1722832</t>
  </si>
  <si>
    <t>INC1719544</t>
  </si>
  <si>
    <t>INC1719295</t>
  </si>
  <si>
    <t>INC1715774</t>
  </si>
  <si>
    <t>INC1708694</t>
  </si>
  <si>
    <t>Kyle D Allen - kyle.allen@gsa.gov</t>
  </si>
  <si>
    <t>INC1708098</t>
  </si>
  <si>
    <t>FAS.T3.OCMS</t>
  </si>
  <si>
    <t>INC1703934</t>
  </si>
  <si>
    <t>INC1698839</t>
  </si>
  <si>
    <t>INC1697202</t>
  </si>
  <si>
    <t>INC1672346</t>
  </si>
  <si>
    <t>INC1671372</t>
  </si>
  <si>
    <t>INC1656931</t>
  </si>
  <si>
    <t>INC1632133</t>
  </si>
  <si>
    <t>INC1627089</t>
  </si>
  <si>
    <t>INC1621134</t>
  </si>
  <si>
    <t>INC1620710</t>
  </si>
  <si>
    <t>INC1620603</t>
  </si>
  <si>
    <t>INC1620249</t>
  </si>
  <si>
    <t>INC1620233</t>
  </si>
  <si>
    <t>INC1620208</t>
  </si>
  <si>
    <t>INC1620045</t>
  </si>
  <si>
    <t>INC1611932</t>
  </si>
  <si>
    <t>INC1603645</t>
  </si>
  <si>
    <t>INC1599982</t>
  </si>
  <si>
    <t>INC1599725</t>
  </si>
  <si>
    <t>INC1594906</t>
  </si>
  <si>
    <t>INC1590710</t>
  </si>
  <si>
    <t>INC1590564</t>
  </si>
  <si>
    <t>INC1565179</t>
  </si>
  <si>
    <t>INC1557583</t>
  </si>
  <si>
    <t>INC1551459</t>
  </si>
  <si>
    <t>Hanyao  Chen - david.chen@gsa.gov</t>
  </si>
  <si>
    <t>GSA.GITGO.SD</t>
  </si>
  <si>
    <t>INC1545251</t>
  </si>
  <si>
    <t>INC1518089</t>
  </si>
  <si>
    <t>INC1505233</t>
  </si>
  <si>
    <t>INC1504854</t>
  </si>
  <si>
    <t>INC1500913</t>
  </si>
  <si>
    <t>INC1500912</t>
  </si>
  <si>
    <t>INC1500576</t>
  </si>
  <si>
    <t>INC1500359</t>
  </si>
  <si>
    <t>INC1499128</t>
  </si>
  <si>
    <t>INC1494066</t>
  </si>
  <si>
    <t>INC1485406</t>
  </si>
  <si>
    <t>INC1484776</t>
  </si>
  <si>
    <t>INC1480787</t>
  </si>
  <si>
    <t>INC1480765</t>
  </si>
  <si>
    <t>INC1480620</t>
  </si>
  <si>
    <t>INC1467219</t>
  </si>
  <si>
    <t>INC1451238</t>
  </si>
  <si>
    <t>INC1424744</t>
  </si>
  <si>
    <t>Steven L Milby - steven.milby@gsa.gov</t>
  </si>
  <si>
    <t>INC1411413</t>
  </si>
  <si>
    <t>INC1389922</t>
  </si>
  <si>
    <t>INC1367068</t>
  </si>
  <si>
    <t>INC1354526</t>
  </si>
  <si>
    <t>INC1217191</t>
  </si>
  <si>
    <t>Eduardo A Castro - eduardo.castro@gsa.gov</t>
  </si>
  <si>
    <t>Created</t>
  </si>
  <si>
    <t>Value</t>
  </si>
  <si>
    <t>Definition</t>
  </si>
  <si>
    <t>Not Assigned</t>
  </si>
  <si>
    <t>T2 Team was not the last assigned POC</t>
  </si>
  <si>
    <t>Multiple Assignments -Multiple Assignments -Hanyao Chen - david.chen@gsa.gov, FAS.T3.SST , Kanakavalli Jeganathan - kanakavalli.jeganathan@gsa.gov</t>
  </si>
  <si>
    <t>4/10/2017 10:27:50 AM, 5/4/2017 8:26:51 AM, 5/4/2017 8:26:51 AM</t>
  </si>
  <si>
    <t>Kanakavalli Jeganathan - kanakavalli.jeganathan@gsa.gov was the last to be assigned to this record</t>
  </si>
  <si>
    <t>Multiple Assignments -Multiple Assignments -Multiple Assignments -Aisha Nazam - aisha.nazam@gsa.gov, Justin H Kelly - justin.kelly@gsa.gov, Erfan Faneian - erfan.faneian@gsa.gov, Justin H Kelly - justin.kelly@gsa.gov</t>
  </si>
  <si>
    <t>2/16/2017 8:28:22 AM, 4/12/2017 11:27:36 AM, 5/4/2017 4:32:47 PM, 5/30/2017 4:57:43 PM</t>
  </si>
  <si>
    <t>Justin H Kelly - justin.kelly@gsa.gov was the last to be assigned to this record</t>
  </si>
  <si>
    <t>Multiple Assignments -Multiple Assignments -George D Starrett - george.starrett@gsa.gov, FAS.T3.SST , Kanakavalli Jeganathan - kanakavalli.jeganathan@gsa.gov</t>
  </si>
  <si>
    <t>4/10/2017 11:46:04 AM, 4/24/2017 1:27:34 PM, 4/24/2017 1:27:34 PM</t>
  </si>
  <si>
    <t>Kanakavalli Jeganathan - kanakavalli.jeganathan@gsa.gov was the last to be assigned to this record.  This incident has multiple entries.</t>
  </si>
  <si>
    <t>Hanyao Chen - david.chen@gsa.gov was the last to be assigned to this record</t>
  </si>
  <si>
    <t>Multiple Assignments -Justin H Kelly - justin.kelly@gsa.gov, Eric S Risco - eric.risco@gsa.gov</t>
  </si>
  <si>
    <t>4/11/2017 12:53:39 PM, 5/18/2017 2:39:37 PM</t>
  </si>
  <si>
    <t>Eric S Risco - eric.risco@gsa.gov was the last to be assigned to this record</t>
  </si>
  <si>
    <t>4/25/2017 11:19:26 AM, 5/18/2017 2:33:35 PM</t>
  </si>
  <si>
    <t>Multiple Assignments -Hanyao Chen - david.chen@gsa.gov, George D Starrett - george.starrett@gsa.gov</t>
  </si>
  <si>
    <t>4/27/2017 11:18:23 AM, 4/27/2017 11:43:49 AM</t>
  </si>
  <si>
    <t>4/28/2017 2:41:10 PM, 5/25/2017 8:33:48 AM, 5/25/2017 8:33:48 AM</t>
  </si>
  <si>
    <t>Erfan Faneian - erfan.faneian@gsa.gov was the last to be assigned to this record</t>
  </si>
  <si>
    <t>5/16/2017 2:06:26 PM, 5/19/2017 2:27:30 PM, 5/23/2017 2:36:01 PM</t>
  </si>
  <si>
    <t>Multiple Assignments -George D Starrett - george.starrett@gsa.gov, Hanyao Chen - david.chen@gsa.gov</t>
  </si>
  <si>
    <t>5/15/2017 4:29:13 PM, 5/26/2017 6:38:03 PM</t>
  </si>
  <si>
    <t>Multiple Assignments -Multiple Assignments -George D Starrett - george.starrett@gsa.gov, Justin H Kelly - justin.kelly@gsa.gov, Erfan Faneian - erfan.faneian@gsa.gov</t>
  </si>
  <si>
    <t>5/18/2017 3:53:54 PM, 5/26/2017 6:25:22 PM, 5/31/2017 3:16:37 PM</t>
  </si>
  <si>
    <t>Multiple Assignments -Multiple Assignments -Justin H Kelly - justin.kelly@gsa.gov, George D Starrett - george.starrett@gsa.gov, Justin H Kelly - justin.kelly@gsa.gov</t>
  </si>
  <si>
    <t>5/22/2017 4:33:45 PM, 5/23/2017 11:10:49 AM, 5/26/2017 5:47:31 PM</t>
  </si>
  <si>
    <t>Multiple Assignments -Hanyao Chen - david.chen@gsa.gov, Erfan Faneian - erfan.faneian@gsa.gov</t>
  </si>
  <si>
    <t>5/23/2017 3:04:15 PM, 6/1/2017 1:19:04 PM</t>
  </si>
  <si>
    <t>Erfan Faneian - erfan.faneian@gsa.gov was the last to be assigned to this record.  This incident has multiple entries.</t>
  </si>
  <si>
    <t>Multiple Assignments -Erfan Faneian - erfan.faneian@gsa.gov, Hanyao Chen - david.chen@gsa.gov</t>
  </si>
  <si>
    <t>6/5/2017 9:43:40 AM, 6/7/2017 11:28:45 AM</t>
  </si>
  <si>
    <t>Hanyao Chen - david.chen@gsa.gov was the last to be assigned to this record.  This incident has multiple entries.</t>
  </si>
  <si>
    <t>George D Starrett - george.starrett@gsa.gov was the last to be assigned to this record</t>
  </si>
  <si>
    <t>Notes</t>
  </si>
  <si>
    <t>Keep grey spaces</t>
  </si>
  <si>
    <t>Total Assigned ("Created 1" date  within date range)</t>
  </si>
  <si>
    <t>Transferred (need to find manually)</t>
  </si>
  <si>
    <t>Opened and Transferred</t>
  </si>
  <si>
    <t>Transferred this week (From Closed)</t>
  </si>
  <si>
    <t>Opened and Closed</t>
  </si>
  <si>
    <t>Last Week Open</t>
  </si>
  <si>
    <t>Total</t>
  </si>
  <si>
    <t>Total Closed</t>
  </si>
  <si>
    <t>total count (All assigned to T2 individuals AND those empty but assigned to T2 AND Assigned to T3)</t>
  </si>
  <si>
    <t>Response SLA</t>
  </si>
  <si>
    <t>Check</t>
  </si>
  <si>
    <t>By Priority</t>
  </si>
  <si>
    <t>P Value</t>
  </si>
  <si>
    <t>Avg Response Time</t>
  </si>
  <si>
    <t>Count</t>
  </si>
  <si>
    <t>Count Yes</t>
  </si>
  <si>
    <t>Percentage</t>
  </si>
  <si>
    <t>Check 2</t>
  </si>
  <si>
    <t>1 - Critical</t>
  </si>
  <si>
    <t>P1</t>
  </si>
  <si>
    <t>2 - High</t>
  </si>
  <si>
    <t>P2</t>
  </si>
  <si>
    <t>Last Week Assigned</t>
  </si>
  <si>
    <t>INC Assigned</t>
  </si>
  <si>
    <t>INC Resolved</t>
  </si>
  <si>
    <t>INC Transferred</t>
  </si>
  <si>
    <t>Total Assigned</t>
  </si>
  <si>
    <t>P3</t>
  </si>
  <si>
    <t>P4</t>
  </si>
  <si>
    <t>When Trasnfered?</t>
  </si>
  <si>
    <t>Etool Ticket?</t>
  </si>
  <si>
    <t>Was Etools Last?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</si>
</sst>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\ hh:mm:ss\ \a"/>
    <numFmt numFmtId="165" formatCode="[$-409]m/d/yy\ h:mm\ AM/PM;@"/>
    <numFmt numFmtId="166" formatCode="yyyy/mm/dd\ hh:mm:ss"/>
    <numFmt numFmtId="167" formatCode="[h]:mm:ss;@"/>
  </numFmts>
  <fonts count="8" x14ac:knownFonts="1">
    <font>
      <sz val="10"/>
      <name val="Arial"/>
    </font>
    <font>
      <sz val="10"/>
      <name val="Arial"/>
      <family val="2"/>
    </font>
    <font>
      <sz val="12"/>
      <color theme="1"/>
      <name val="Arial"/>
      <family val="2"/>
    </font>
    <font>
      <sz val="11"/>
      <color rgb="FF353535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1" applyAlignment="1">
      <alignment wrapText="1"/>
    </xf>
    <xf numFmtId="22" fontId="2" fillId="0" borderId="0" xfId="1" applyNumberFormat="1" applyAlignment="1">
      <alignment wrapText="1"/>
    </xf>
    <xf numFmtId="0" fontId="2" fillId="0" borderId="0" xfId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/>
    <xf numFmtId="2" fontId="2" fillId="0" borderId="0" xfId="1" applyNumberFormat="1" applyAlignment="1">
      <alignment wrapText="1"/>
    </xf>
    <xf numFmtId="2" fontId="2" fillId="0" borderId="0" xfId="1" applyNumberFormat="1"/>
    <xf numFmtId="2" fontId="0" fillId="0" borderId="0" xfId="0" applyNumberFormat="1"/>
    <xf numFmtId="15" fontId="1" fillId="0" borderId="0" xfId="2" applyNumberFormat="1"/>
    <xf numFmtId="0" fontId="1" fillId="0" borderId="0" xfId="2"/>
    <xf numFmtId="16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16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4" fontId="1" fillId="0" borderId="0" xfId="2" applyNumberFormat="1" applyAlignment="1">
      <alignment vertical="top"/>
    </xf>
    <xf numFmtId="0" fontId="1" fillId="0" borderId="0" xfId="2" applyAlignment="1">
      <alignment vertical="top" wrapText="1"/>
    </xf>
    <xf numFmtId="0" fontId="4" fillId="0" borderId="0" xfId="2" applyFont="1"/>
    <xf numFmtId="22" fontId="0" fillId="0" borderId="0" xfId="0" applyNumberFormat="1"/>
    <xf numFmtId="0" fontId="1" fillId="2" borderId="0" xfId="2" applyFill="1" applyAlignment="1">
      <alignment vertical="top" wrapText="1"/>
    </xf>
    <xf numFmtId="0" fontId="1" fillId="0" borderId="0" xfId="0" applyFont="1"/>
    <xf numFmtId="0" fontId="2" fillId="3" borderId="0" xfId="1" applyFill="1"/>
    <xf numFmtId="0" fontId="2" fillId="3" borderId="0" xfId="1" applyFill="1" applyBorder="1"/>
    <xf numFmtId="22" fontId="2" fillId="3" borderId="0" xfId="1" applyNumberFormat="1" applyFill="1"/>
    <xf numFmtId="165" fontId="0" fillId="3" borderId="0" xfId="0" applyNumberFormat="1" applyFill="1"/>
    <xf numFmtId="0" fontId="0" fillId="3" borderId="0" xfId="0" applyFill="1"/>
    <xf numFmtId="0" fontId="0" fillId="3" borderId="0" xfId="0" applyNumberFormat="1" applyFill="1"/>
    <xf numFmtId="0" fontId="0" fillId="0" borderId="0" xfId="0" applyAlignment="1">
      <alignment vertical="top" wrapText="1"/>
    </xf>
    <xf numFmtId="166" fontId="0" fillId="0" borderId="0" xfId="0" applyNumberFormat="1" applyAlignment="1"/>
    <xf numFmtId="0" fontId="5" fillId="4" borderId="0" xfId="0" applyFont="1" applyFill="1" applyAlignment="1">
      <alignment wrapText="1"/>
    </xf>
    <xf numFmtId="0" fontId="0" fillId="0" borderId="0" xfId="0" applyNumberFormat="1" applyAlignment="1"/>
    <xf numFmtId="0" fontId="0" fillId="5" borderId="0" xfId="0" applyFill="1" applyAlignment="1">
      <alignment wrapText="1"/>
    </xf>
    <xf numFmtId="0" fontId="0" fillId="0" borderId="0" xfId="0" applyFill="1"/>
    <xf numFmtId="167" fontId="0" fillId="6" borderId="0" xfId="0" applyNumberFormat="1" applyFill="1" applyAlignment="1">
      <alignment wrapText="1"/>
    </xf>
    <xf numFmtId="167" fontId="0" fillId="7" borderId="0" xfId="0" applyNumberFormat="1" applyFill="1" applyAlignment="1">
      <alignment wrapText="1"/>
    </xf>
    <xf numFmtId="167" fontId="0" fillId="8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9" borderId="0" xfId="0" applyFill="1" applyAlignment="1">
      <alignment wrapText="1"/>
    </xf>
    <xf numFmtId="0" fontId="1" fillId="10" borderId="0" xfId="0" applyFont="1" applyFill="1"/>
    <xf numFmtId="1" fontId="0" fillId="0" borderId="0" xfId="0" applyNumberFormat="1" applyBorder="1"/>
    <xf numFmtId="0" fontId="1" fillId="0" borderId="0" xfId="3"/>
    <xf numFmtId="0" fontId="1" fillId="0" borderId="0" xfId="3" applyFill="1"/>
    <xf numFmtId="166" fontId="0" fillId="0" borderId="0" xfId="0" applyNumberFormat="1" applyAlignment="1">
      <alignment vertical="top"/>
    </xf>
    <xf numFmtId="167" fontId="0" fillId="0" borderId="0" xfId="0" applyNumberFormat="1" applyAlignment="1">
      <alignment wrapText="1"/>
    </xf>
    <xf numFmtId="0" fontId="0" fillId="0" borderId="0" xfId="0" applyBorder="1"/>
    <xf numFmtId="2" fontId="1" fillId="0" borderId="0" xfId="3" applyNumberFormat="1"/>
    <xf numFmtId="10" fontId="0" fillId="0" borderId="0" xfId="4" applyNumberFormat="1" applyFont="1"/>
    <xf numFmtId="0" fontId="0" fillId="6" borderId="0" xfId="0" applyFill="1" applyAlignment="1">
      <alignment wrapText="1"/>
    </xf>
    <xf numFmtId="1" fontId="0" fillId="6" borderId="0" xfId="0" applyNumberFormat="1" applyFill="1" applyAlignment="1"/>
    <xf numFmtId="1" fontId="0" fillId="6" borderId="0" xfId="0" applyNumberFormat="1" applyFill="1" applyAlignment="1">
      <alignment wrapText="1"/>
    </xf>
    <xf numFmtId="0" fontId="2" fillId="0" borderId="0" xfId="1" applyFill="1"/>
    <xf numFmtId="22" fontId="2" fillId="0" borderId="0" xfId="1" applyNumberFormat="1" applyFill="1"/>
    <xf numFmtId="0" fontId="0" fillId="11" borderId="0" xfId="0" applyFill="1"/>
    <xf numFmtId="14" fontId="0" fillId="0" borderId="0" xfId="0" applyNumberFormat="1"/>
    <xf numFmtId="14" fontId="1" fillId="0" borderId="0" xfId="0" applyNumberFormat="1" applyFont="1"/>
    <xf numFmtId="0" fontId="4" fillId="0" borderId="0" xfId="0" applyFont="1"/>
    <xf numFmtId="0" fontId="0" fillId="5" borderId="0" xfId="0" applyFill="1"/>
  </cellXfs>
  <cellStyles count="5">
    <cellStyle name="Normal" xfId="0" builtinId="0"/>
    <cellStyle name="Normal 2" xfId="1"/>
    <cellStyle name="Normal 3" xfId="2"/>
    <cellStyle name="Normal 4" xfId="3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Z105"/>
  <sheetViews>
    <sheetView tabSelected="1" topLeftCell="A15" zoomScale="70" zoomScaleNormal="70" workbookViewId="0">
      <selection activeCell="J96" sqref="J96"/>
    </sheetView>
  </sheetViews>
  <sheetFormatPr defaultRowHeight="12.75" x14ac:dyDescent="0.2"/>
  <cols>
    <col min="1" max="1" width="12.42578125" customWidth="1"/>
    <col min="2" max="2" width="12.140625" customWidth="1"/>
    <col min="4" max="4" width="10" customWidth="1"/>
    <col min="5" max="5" width="14.85546875" customWidth="1"/>
    <col min="7" max="7" width="20.42578125" customWidth="1"/>
    <col min="8" max="8" width="13.5703125" customWidth="1"/>
    <col min="9" max="9" width="22.140625" customWidth="1"/>
    <col min="10" max="10" width="19.7109375" customWidth="1"/>
    <col min="11" max="11" width="12" customWidth="1"/>
    <col min="12" max="12" width="22.85546875" customWidth="1"/>
    <col min="13" max="13" width="16.85546875" customWidth="1"/>
    <col min="14" max="14" width="19.28515625" customWidth="1"/>
    <col min="15" max="15" width="19.7109375" customWidth="1"/>
    <col min="17" max="17" width="17.7109375" style="9" customWidth="1"/>
    <col min="18" max="18" width="10.7109375" style="9" customWidth="1"/>
    <col min="19" max="19" width="73.42578125" customWidth="1"/>
  </cols>
  <sheetData>
    <row r="1" spans="1:19" ht="45" x14ac:dyDescent="0.2">
      <c r="A1" s="1" t="s">
        <v>0</v>
      </c>
      <c r="B1" s="1" t="s">
        <v>7</v>
      </c>
      <c r="C1" s="1" t="s">
        <v>1</v>
      </c>
      <c r="D1" s="1" t="s">
        <v>8</v>
      </c>
      <c r="E1" s="1" t="s">
        <v>9</v>
      </c>
      <c r="F1" s="1" t="s">
        <v>10</v>
      </c>
      <c r="G1" s="1" t="s">
        <v>2</v>
      </c>
      <c r="H1" s="1" t="s">
        <v>11</v>
      </c>
      <c r="I1" s="2" t="s">
        <v>12</v>
      </c>
      <c r="J1" s="2" t="s">
        <v>13</v>
      </c>
      <c r="K1" s="1" t="s">
        <v>14</v>
      </c>
      <c r="L1" s="2" t="s">
        <v>15</v>
      </c>
      <c r="M1" s="2" t="s">
        <v>16</v>
      </c>
      <c r="N1" s="2" t="s">
        <v>3</v>
      </c>
      <c r="O1" s="2" t="s">
        <v>4</v>
      </c>
      <c r="P1" s="3"/>
      <c r="Q1" s="7" t="s">
        <v>17</v>
      </c>
      <c r="R1" s="8" t="s">
        <v>18</v>
      </c>
      <c r="S1" s="21" t="s">
        <v>303</v>
      </c>
    </row>
    <row r="2" spans="1:19" ht="25.5" hidden="1" x14ac:dyDescent="0.2">
      <c r="A2" s="17" t="s">
        <v>157</v>
      </c>
      <c r="C2" s="17" t="s">
        <v>37</v>
      </c>
      <c r="G2" s="16">
        <v>42859.630381944444</v>
      </c>
      <c r="H2" s="17" t="s">
        <v>5</v>
      </c>
      <c r="I2" s="17" t="s">
        <v>46</v>
      </c>
      <c r="J2" s="16">
        <v>42864.649085648147</v>
      </c>
      <c r="K2" t="s">
        <v>6</v>
      </c>
      <c r="L2" t="s">
        <v>82</v>
      </c>
      <c r="M2" s="19">
        <v>42865.314085648148</v>
      </c>
      <c r="N2" s="16"/>
      <c r="O2" s="16"/>
      <c r="P2" s="11"/>
      <c r="Q2" s="9">
        <v>0.66500000000087311</v>
      </c>
      <c r="S2" s="53" t="s">
        <v>288</v>
      </c>
    </row>
    <row r="3" spans="1:19" ht="25.5" hidden="1" x14ac:dyDescent="0.2">
      <c r="A3" s="17" t="s">
        <v>156</v>
      </c>
      <c r="C3" s="17" t="s">
        <v>37</v>
      </c>
      <c r="G3" s="16">
        <v>42860.66333333333</v>
      </c>
      <c r="H3" s="17" t="s">
        <v>5</v>
      </c>
      <c r="I3" s="17" t="s">
        <v>46</v>
      </c>
      <c r="J3" s="16">
        <v>42863.382326388892</v>
      </c>
      <c r="K3" t="s">
        <v>6</v>
      </c>
      <c r="L3" t="s">
        <v>82</v>
      </c>
      <c r="M3" s="19">
        <v>42863.418287037035</v>
      </c>
      <c r="N3" s="16"/>
      <c r="O3" s="16"/>
      <c r="P3" s="11"/>
      <c r="Q3" s="9">
        <v>3.5960648143372964E-2</v>
      </c>
      <c r="S3" s="53" t="s">
        <v>288</v>
      </c>
    </row>
    <row r="4" spans="1:19" ht="25.5" hidden="1" x14ac:dyDescent="0.2">
      <c r="A4" s="17" t="s">
        <v>142</v>
      </c>
      <c r="C4" s="17" t="s">
        <v>65</v>
      </c>
      <c r="G4" s="16">
        <v>42872.663229166668</v>
      </c>
      <c r="H4" s="17" t="s">
        <v>5</v>
      </c>
      <c r="I4" s="17" t="s">
        <v>46</v>
      </c>
      <c r="J4" s="16">
        <v>42873.613275462965</v>
      </c>
      <c r="K4" t="s">
        <v>6</v>
      </c>
      <c r="L4" t="s">
        <v>292</v>
      </c>
      <c r="M4" s="19" t="s">
        <v>293</v>
      </c>
      <c r="N4" s="16"/>
      <c r="O4" s="16"/>
      <c r="P4" s="11"/>
      <c r="S4" s="53" t="s">
        <v>288</v>
      </c>
    </row>
    <row r="5" spans="1:19" ht="25.5" x14ac:dyDescent="0.2">
      <c r="A5" s="17" t="s">
        <v>93</v>
      </c>
      <c r="C5" s="17" t="s">
        <v>37</v>
      </c>
      <c r="G5" s="16">
        <v>42893.357627314814</v>
      </c>
      <c r="H5" s="17" t="s">
        <v>5</v>
      </c>
      <c r="I5" s="17" t="s">
        <v>46</v>
      </c>
      <c r="J5" s="16">
        <v>42893.360891203702</v>
      </c>
      <c r="K5" t="s">
        <v>6</v>
      </c>
      <c r="L5" t="s">
        <v>82</v>
      </c>
      <c r="M5" s="19">
        <v>42893.439467592594</v>
      </c>
      <c r="N5" s="16"/>
      <c r="O5" s="16"/>
      <c r="P5" s="11"/>
      <c r="Q5" s="9">
        <v>7.8576388892543036E-2</v>
      </c>
      <c r="S5" s="53" t="s">
        <v>288</v>
      </c>
    </row>
    <row r="6" spans="1:19" ht="25.5" x14ac:dyDescent="0.2">
      <c r="A6" s="17" t="s">
        <v>91</v>
      </c>
      <c r="C6" s="17" t="s">
        <v>37</v>
      </c>
      <c r="G6" s="16">
        <v>42893.422708333332</v>
      </c>
      <c r="H6" s="17" t="s">
        <v>5</v>
      </c>
      <c r="I6" s="17" t="s">
        <v>46</v>
      </c>
      <c r="J6" s="16">
        <v>42893.429513888892</v>
      </c>
      <c r="K6" t="s">
        <v>6</v>
      </c>
      <c r="L6" t="s">
        <v>82</v>
      </c>
      <c r="M6" s="19">
        <v>42893.435543981483</v>
      </c>
      <c r="N6" s="16"/>
      <c r="O6" s="16"/>
      <c r="P6" s="11"/>
      <c r="Q6" s="9">
        <v>6.0300925906631164E-3</v>
      </c>
      <c r="S6" s="53" t="s">
        <v>288</v>
      </c>
    </row>
    <row r="7" spans="1:19" ht="25.5" x14ac:dyDescent="0.2">
      <c r="A7" s="17" t="s">
        <v>83</v>
      </c>
      <c r="C7" s="17" t="s">
        <v>37</v>
      </c>
      <c r="G7" s="16">
        <v>42893.600949074076</v>
      </c>
      <c r="H7" s="17" t="s">
        <v>5</v>
      </c>
      <c r="I7" s="17" t="s">
        <v>46</v>
      </c>
      <c r="J7" s="16">
        <v>42893.666076388887</v>
      </c>
      <c r="K7" t="s">
        <v>6</v>
      </c>
      <c r="L7" t="s">
        <v>82</v>
      </c>
      <c r="M7" s="19">
        <v>42893.673321759263</v>
      </c>
      <c r="N7" s="16"/>
      <c r="O7" s="16"/>
      <c r="P7" s="11"/>
      <c r="Q7" s="9">
        <v>7.2453703760402277E-3</v>
      </c>
      <c r="S7" s="53" t="s">
        <v>288</v>
      </c>
    </row>
    <row r="8" spans="1:19" ht="25.5" hidden="1" x14ac:dyDescent="0.2">
      <c r="A8" s="20" t="s">
        <v>136</v>
      </c>
      <c r="C8" s="17" t="s">
        <v>65</v>
      </c>
      <c r="G8" s="16">
        <v>42878.60125</v>
      </c>
      <c r="H8" s="17" t="s">
        <v>5</v>
      </c>
      <c r="I8" s="17" t="s">
        <v>46</v>
      </c>
      <c r="J8" s="16">
        <v>42878.61136574074</v>
      </c>
      <c r="K8" t="s">
        <v>6</v>
      </c>
      <c r="L8" t="s">
        <v>296</v>
      </c>
      <c r="M8" s="19" t="s">
        <v>297</v>
      </c>
      <c r="N8" s="16"/>
      <c r="O8" s="16"/>
      <c r="P8" s="11"/>
      <c r="S8" s="53" t="s">
        <v>298</v>
      </c>
    </row>
    <row r="9" spans="1:19" ht="25.5" hidden="1" x14ac:dyDescent="0.2">
      <c r="A9" s="17" t="s">
        <v>180</v>
      </c>
      <c r="C9" s="17" t="s">
        <v>37</v>
      </c>
      <c r="G9" s="16">
        <v>42825.659317129626</v>
      </c>
      <c r="H9" s="17" t="s">
        <v>5</v>
      </c>
      <c r="I9" s="17" t="s">
        <v>46</v>
      </c>
      <c r="J9" s="16">
        <v>42836.472199074073</v>
      </c>
      <c r="K9" t="s">
        <v>6</v>
      </c>
      <c r="L9" t="s">
        <v>281</v>
      </c>
      <c r="M9" s="19" t="s">
        <v>282</v>
      </c>
      <c r="N9" s="16"/>
      <c r="O9" s="16"/>
      <c r="P9" s="11"/>
      <c r="S9" s="53" t="s">
        <v>283</v>
      </c>
    </row>
    <row r="10" spans="1:19" ht="25.5" hidden="1" x14ac:dyDescent="0.2">
      <c r="A10" s="17" t="s">
        <v>169</v>
      </c>
      <c r="C10" s="17" t="s">
        <v>37</v>
      </c>
      <c r="G10" s="16">
        <v>42849.737280092595</v>
      </c>
      <c r="H10" s="17" t="s">
        <v>5</v>
      </c>
      <c r="I10" s="17" t="s">
        <v>46</v>
      </c>
      <c r="J10" s="16">
        <v>42850.368113425924</v>
      </c>
      <c r="K10" t="s">
        <v>6</v>
      </c>
      <c r="L10" t="s">
        <v>281</v>
      </c>
      <c r="M10" s="19" t="s">
        <v>284</v>
      </c>
      <c r="N10" s="16"/>
      <c r="O10" s="16"/>
      <c r="P10" s="11"/>
      <c r="S10" s="53" t="s">
        <v>283</v>
      </c>
    </row>
    <row r="11" spans="1:19" ht="25.5" hidden="1" x14ac:dyDescent="0.2">
      <c r="A11" s="17" t="s">
        <v>132</v>
      </c>
      <c r="C11" s="17" t="s">
        <v>65</v>
      </c>
      <c r="G11" s="16">
        <v>42881.637048611112</v>
      </c>
      <c r="H11" s="17" t="s">
        <v>5</v>
      </c>
      <c r="I11" s="17" t="s">
        <v>46</v>
      </c>
      <c r="J11" s="16">
        <v>42881.643414351849</v>
      </c>
      <c r="K11" t="s">
        <v>6</v>
      </c>
      <c r="L11" t="s">
        <v>67</v>
      </c>
      <c r="M11" s="19">
        <v>42881.773275462961</v>
      </c>
      <c r="N11" s="16"/>
      <c r="O11" s="16"/>
      <c r="P11" s="11"/>
      <c r="Q11" s="9">
        <v>0.12986111111240461</v>
      </c>
      <c r="S11" s="53" t="s">
        <v>283</v>
      </c>
    </row>
    <row r="12" spans="1:19" ht="25.5" x14ac:dyDescent="0.2">
      <c r="A12" s="17" t="s">
        <v>84</v>
      </c>
      <c r="C12" s="17" t="s">
        <v>37</v>
      </c>
      <c r="G12" s="16">
        <v>42893.536793981482</v>
      </c>
      <c r="H12" s="17" t="s">
        <v>5</v>
      </c>
      <c r="I12" s="17" t="s">
        <v>46</v>
      </c>
      <c r="J12" s="16">
        <v>42893.546782407408</v>
      </c>
      <c r="K12" t="s">
        <v>6</v>
      </c>
      <c r="L12" t="s">
        <v>67</v>
      </c>
      <c r="M12" s="19">
        <v>42893.58556712963</v>
      </c>
      <c r="N12" s="16"/>
      <c r="O12" s="16"/>
      <c r="P12" s="11"/>
      <c r="Q12" s="9">
        <v>3.8784722222771961E-2</v>
      </c>
      <c r="S12" s="53" t="s">
        <v>283</v>
      </c>
    </row>
    <row r="13" spans="1:19" ht="25.5" x14ac:dyDescent="0.2">
      <c r="A13" s="17" t="s">
        <v>81</v>
      </c>
      <c r="C13" s="17" t="s">
        <v>37</v>
      </c>
      <c r="G13" s="16">
        <v>42893.635451388887</v>
      </c>
      <c r="H13" s="17" t="s">
        <v>5</v>
      </c>
      <c r="I13" s="17" t="s">
        <v>46</v>
      </c>
      <c r="J13" s="16">
        <v>42893.640231481484</v>
      </c>
      <c r="K13" t="s">
        <v>6</v>
      </c>
      <c r="L13" t="s">
        <v>67</v>
      </c>
      <c r="M13" s="19">
        <v>42893.674768518518</v>
      </c>
      <c r="N13" s="16"/>
      <c r="O13" s="16"/>
      <c r="P13" s="11"/>
      <c r="Q13" s="9">
        <v>3.4537037034169771E-2</v>
      </c>
      <c r="S13" s="53" t="s">
        <v>283</v>
      </c>
    </row>
    <row r="14" spans="1:19" ht="25.5" x14ac:dyDescent="0.2">
      <c r="A14" s="17" t="s">
        <v>77</v>
      </c>
      <c r="C14" s="17" t="s">
        <v>37</v>
      </c>
      <c r="G14" s="16">
        <v>42893.699155092596</v>
      </c>
      <c r="H14" s="17" t="s">
        <v>5</v>
      </c>
      <c r="I14" s="17" t="s">
        <v>46</v>
      </c>
      <c r="J14" s="16">
        <v>42893.712847222225</v>
      </c>
      <c r="K14" t="s">
        <v>6</v>
      </c>
      <c r="L14" t="s">
        <v>67</v>
      </c>
      <c r="M14" s="19">
        <v>42893.714074074072</v>
      </c>
      <c r="N14" s="16"/>
      <c r="O14" s="16"/>
      <c r="P14" s="11"/>
      <c r="Q14" s="9">
        <v>1.2268518476048484E-3</v>
      </c>
      <c r="S14" s="53" t="s">
        <v>283</v>
      </c>
    </row>
    <row r="15" spans="1:19" ht="25.5" x14ac:dyDescent="0.2">
      <c r="A15" s="17" t="s">
        <v>68</v>
      </c>
      <c r="C15" s="17" t="s">
        <v>37</v>
      </c>
      <c r="G15" s="16">
        <v>42894.582870370374</v>
      </c>
      <c r="H15" s="17" t="s">
        <v>5</v>
      </c>
      <c r="I15" s="17" t="s">
        <v>46</v>
      </c>
      <c r="J15" s="16">
        <v>42895.368263888886</v>
      </c>
      <c r="K15" t="s">
        <v>6</v>
      </c>
      <c r="L15" t="s">
        <v>67</v>
      </c>
      <c r="M15" s="19">
        <v>42895.425543981481</v>
      </c>
      <c r="N15" s="16"/>
      <c r="O15" s="16"/>
      <c r="P15" s="11"/>
      <c r="Q15" s="9">
        <v>5.7280092594737653E-2</v>
      </c>
      <c r="S15" s="53" t="s">
        <v>283</v>
      </c>
    </row>
    <row r="16" spans="1:19" ht="25.5" x14ac:dyDescent="0.2">
      <c r="A16" s="17" t="s">
        <v>87</v>
      </c>
      <c r="C16" s="17" t="s">
        <v>37</v>
      </c>
      <c r="G16" s="16">
        <v>42893.433275462965</v>
      </c>
      <c r="H16" s="17" t="s">
        <v>5</v>
      </c>
      <c r="I16" s="17" t="s">
        <v>46</v>
      </c>
      <c r="J16" s="16">
        <v>42894.750636574077</v>
      </c>
      <c r="K16" t="s">
        <v>6</v>
      </c>
      <c r="L16" t="s">
        <v>49</v>
      </c>
      <c r="M16" s="19">
        <v>42895.456145833334</v>
      </c>
      <c r="N16" s="16"/>
      <c r="O16" s="16"/>
      <c r="P16" s="11"/>
      <c r="Q16" s="9">
        <v>0.70550925925635966</v>
      </c>
      <c r="S16" s="53" t="s">
        <v>302</v>
      </c>
    </row>
    <row r="17" spans="1:19" ht="25.5" x14ac:dyDescent="0.2">
      <c r="A17" s="17" t="s">
        <v>85</v>
      </c>
      <c r="C17" s="17" t="s">
        <v>37</v>
      </c>
      <c r="G17" s="16">
        <v>42893.436284722222</v>
      </c>
      <c r="H17" s="17" t="s">
        <v>5</v>
      </c>
      <c r="I17" s="17" t="s">
        <v>46</v>
      </c>
      <c r="J17" s="16">
        <v>42893.443518518521</v>
      </c>
      <c r="K17" t="s">
        <v>6</v>
      </c>
      <c r="L17" t="s">
        <v>49</v>
      </c>
      <c r="M17" s="19">
        <v>42893.637962962966</v>
      </c>
      <c r="N17" s="16"/>
      <c r="O17" s="16"/>
      <c r="P17" s="11"/>
      <c r="Q17" s="9">
        <v>0.19444444444525288</v>
      </c>
      <c r="S17" s="53" t="s">
        <v>302</v>
      </c>
    </row>
    <row r="18" spans="1:19" ht="25.5" x14ac:dyDescent="0.2">
      <c r="A18" s="17" t="s">
        <v>73</v>
      </c>
      <c r="C18" s="17" t="s">
        <v>37</v>
      </c>
      <c r="G18" s="16">
        <v>42894.411493055559</v>
      </c>
      <c r="H18" s="17" t="s">
        <v>5</v>
      </c>
      <c r="I18" s="17" t="s">
        <v>46</v>
      </c>
      <c r="J18" s="16">
        <v>42894.481145833335</v>
      </c>
      <c r="K18" t="s">
        <v>6</v>
      </c>
      <c r="L18" t="s">
        <v>49</v>
      </c>
      <c r="M18" s="19">
        <v>42894.7346412037</v>
      </c>
      <c r="N18" s="16"/>
      <c r="O18" s="16"/>
      <c r="P18" s="11"/>
      <c r="Q18" s="9">
        <v>0.25349537036527181</v>
      </c>
      <c r="S18" s="53" t="s">
        <v>302</v>
      </c>
    </row>
    <row r="19" spans="1:19" ht="25.5" x14ac:dyDescent="0.2">
      <c r="A19" s="17" t="s">
        <v>72</v>
      </c>
      <c r="C19" s="17" t="s">
        <v>37</v>
      </c>
      <c r="G19" s="16">
        <v>42894.423622685186</v>
      </c>
      <c r="H19" s="17" t="s">
        <v>5</v>
      </c>
      <c r="I19" s="17" t="s">
        <v>46</v>
      </c>
      <c r="J19" s="16">
        <v>42894.453460648147</v>
      </c>
      <c r="K19" t="s">
        <v>6</v>
      </c>
      <c r="L19" t="s">
        <v>49</v>
      </c>
      <c r="M19" s="19">
        <v>42894.585763888892</v>
      </c>
      <c r="N19" s="16"/>
      <c r="O19" s="16"/>
      <c r="P19" s="11"/>
      <c r="Q19" s="9">
        <v>0.13230324074538657</v>
      </c>
      <c r="S19" s="53" t="s">
        <v>302</v>
      </c>
    </row>
    <row r="20" spans="1:19" ht="25.5" x14ac:dyDescent="0.2">
      <c r="A20" s="17" t="s">
        <v>70</v>
      </c>
      <c r="C20" s="17" t="s">
        <v>37</v>
      </c>
      <c r="G20" s="16">
        <v>42894.574479166666</v>
      </c>
      <c r="H20" s="17" t="s">
        <v>5</v>
      </c>
      <c r="I20" s="17" t="s">
        <v>46</v>
      </c>
      <c r="J20" s="16">
        <v>42894.668576388889</v>
      </c>
      <c r="K20" t="s">
        <v>6</v>
      </c>
      <c r="L20" t="s">
        <v>49</v>
      </c>
      <c r="M20" s="19">
        <v>42894.737800925926</v>
      </c>
      <c r="N20" s="16"/>
      <c r="O20" s="16"/>
      <c r="P20" s="11"/>
      <c r="Q20" s="9">
        <v>6.9224537037371192E-2</v>
      </c>
      <c r="S20" s="53" t="s">
        <v>302</v>
      </c>
    </row>
    <row r="21" spans="1:19" ht="25.5" x14ac:dyDescent="0.2">
      <c r="A21" s="17" t="s">
        <v>69</v>
      </c>
      <c r="C21" s="17" t="s">
        <v>37</v>
      </c>
      <c r="G21" s="16">
        <v>42894.578819444447</v>
      </c>
      <c r="H21" s="17" t="s">
        <v>5</v>
      </c>
      <c r="I21" s="17" t="s">
        <v>46</v>
      </c>
      <c r="J21" s="16">
        <v>42894.588078703702</v>
      </c>
      <c r="K21" t="s">
        <v>6</v>
      </c>
      <c r="L21" t="s">
        <v>49</v>
      </c>
      <c r="M21" s="19">
        <v>42894.738680555558</v>
      </c>
      <c r="N21" s="16"/>
      <c r="O21" s="16"/>
      <c r="P21" s="11"/>
      <c r="Q21" s="9">
        <v>0.15060185185575392</v>
      </c>
      <c r="S21" s="53" t="s">
        <v>302</v>
      </c>
    </row>
    <row r="22" spans="1:19" ht="25.5" x14ac:dyDescent="0.2">
      <c r="A22" s="17" t="s">
        <v>50</v>
      </c>
      <c r="C22" s="17" t="s">
        <v>37</v>
      </c>
      <c r="G22" s="16">
        <v>42895.480243055557</v>
      </c>
      <c r="H22" s="17" t="s">
        <v>5</v>
      </c>
      <c r="I22" s="17" t="s">
        <v>46</v>
      </c>
      <c r="J22" s="16">
        <v>42895.572233796294</v>
      </c>
      <c r="K22" t="s">
        <v>6</v>
      </c>
      <c r="L22" t="s">
        <v>49</v>
      </c>
      <c r="M22" s="19">
        <v>42895.574421296296</v>
      </c>
      <c r="N22" s="16"/>
      <c r="O22" s="16"/>
      <c r="P22" s="11"/>
      <c r="Q22" s="9">
        <v>2.1875000020372681E-3</v>
      </c>
      <c r="S22" s="53" t="s">
        <v>302</v>
      </c>
    </row>
    <row r="23" spans="1:19" ht="25.5" hidden="1" x14ac:dyDescent="0.2">
      <c r="A23" s="17" t="s">
        <v>181</v>
      </c>
      <c r="C23" s="17" t="s">
        <v>65</v>
      </c>
      <c r="G23" s="16">
        <v>42825.49732638889</v>
      </c>
      <c r="H23" s="17" t="s">
        <v>5</v>
      </c>
      <c r="I23" s="17" t="s">
        <v>46</v>
      </c>
      <c r="J23" s="16">
        <v>42828.742997685185</v>
      </c>
      <c r="K23" t="s">
        <v>6</v>
      </c>
      <c r="L23" t="s">
        <v>44</v>
      </c>
      <c r="M23" s="19">
        <v>42828.996423611112</v>
      </c>
      <c r="N23" s="16">
        <v>42852.495868055557</v>
      </c>
      <c r="O23" s="16"/>
      <c r="P23" s="11"/>
      <c r="Q23" s="9">
        <v>0.25342592592642177</v>
      </c>
      <c r="R23" s="9">
        <v>23.499444444445544</v>
      </c>
      <c r="S23" s="53" t="s">
        <v>280</v>
      </c>
    </row>
    <row r="24" spans="1:19" ht="25.5" hidden="1" x14ac:dyDescent="0.2">
      <c r="A24" s="17" t="s">
        <v>161</v>
      </c>
      <c r="C24" s="17" t="s">
        <v>65</v>
      </c>
      <c r="G24" s="16">
        <v>42857.476481481484</v>
      </c>
      <c r="H24" s="17" t="s">
        <v>5</v>
      </c>
      <c r="I24" s="17" t="s">
        <v>46</v>
      </c>
      <c r="J24" s="16">
        <v>42857.532500000001</v>
      </c>
      <c r="K24" t="s">
        <v>6</v>
      </c>
      <c r="L24" t="s">
        <v>44</v>
      </c>
      <c r="M24" s="19">
        <v>42857.569768518515</v>
      </c>
      <c r="N24" s="16"/>
      <c r="O24" s="16"/>
      <c r="P24" s="11"/>
      <c r="Q24" s="9">
        <v>3.7268518513883464E-2</v>
      </c>
      <c r="S24" s="53" t="s">
        <v>280</v>
      </c>
    </row>
    <row r="25" spans="1:19" ht="25.5" hidden="1" x14ac:dyDescent="0.2">
      <c r="A25" s="17" t="s">
        <v>154</v>
      </c>
      <c r="C25" s="17" t="s">
        <v>65</v>
      </c>
      <c r="G25" s="16">
        <v>42860.725914351853</v>
      </c>
      <c r="H25" s="17" t="s">
        <v>5</v>
      </c>
      <c r="I25" s="17" t="s">
        <v>46</v>
      </c>
      <c r="J25" s="16">
        <v>42864.434641203705</v>
      </c>
      <c r="K25" t="s">
        <v>6</v>
      </c>
      <c r="L25" t="s">
        <v>44</v>
      </c>
      <c r="M25" s="19">
        <v>42866.598275462966</v>
      </c>
      <c r="N25" s="16"/>
      <c r="O25" s="16"/>
      <c r="P25" s="11"/>
      <c r="Q25" s="9">
        <v>2.1636342592610163</v>
      </c>
      <c r="S25" s="53" t="s">
        <v>280</v>
      </c>
    </row>
    <row r="26" spans="1:19" ht="25.5" hidden="1" x14ac:dyDescent="0.2">
      <c r="A26" s="17" t="s">
        <v>146</v>
      </c>
      <c r="C26" s="17" t="s">
        <v>37</v>
      </c>
      <c r="G26" s="16">
        <v>42870.653738425928</v>
      </c>
      <c r="H26" s="17" t="s">
        <v>5</v>
      </c>
      <c r="I26" s="17" t="s">
        <v>46</v>
      </c>
      <c r="J26" s="16">
        <v>42870.656076388892</v>
      </c>
      <c r="K26" t="s">
        <v>6</v>
      </c>
      <c r="L26" t="s">
        <v>290</v>
      </c>
      <c r="M26" s="19" t="s">
        <v>291</v>
      </c>
      <c r="N26" s="16"/>
      <c r="O26" s="16"/>
      <c r="P26" s="11"/>
      <c r="S26" s="53" t="s">
        <v>280</v>
      </c>
    </row>
    <row r="27" spans="1:19" ht="25.5" hidden="1" x14ac:dyDescent="0.2">
      <c r="A27" s="17" t="s">
        <v>141</v>
      </c>
      <c r="C27" s="17" t="s">
        <v>37</v>
      </c>
      <c r="G27" s="16">
        <v>42873.477858796294</v>
      </c>
      <c r="H27" s="17" t="s">
        <v>5</v>
      </c>
      <c r="I27" s="17" t="s">
        <v>46</v>
      </c>
      <c r="J27" s="16">
        <v>42873.48133101852</v>
      </c>
      <c r="K27" t="s">
        <v>6</v>
      </c>
      <c r="L27" t="s">
        <v>44</v>
      </c>
      <c r="M27" s="19">
        <v>42873.66337962963</v>
      </c>
      <c r="N27" s="16"/>
      <c r="O27" s="16"/>
      <c r="P27" s="11"/>
      <c r="Q27" s="9">
        <v>0.18204861111007631</v>
      </c>
      <c r="S27" s="53" t="s">
        <v>280</v>
      </c>
    </row>
    <row r="28" spans="1:19" ht="25.5" x14ac:dyDescent="0.2">
      <c r="A28" s="17" t="s">
        <v>135</v>
      </c>
      <c r="C28" s="17" t="s">
        <v>37</v>
      </c>
      <c r="G28" s="16">
        <v>42880.420358796298</v>
      </c>
      <c r="H28" s="17" t="s">
        <v>5</v>
      </c>
      <c r="I28" s="17" t="s">
        <v>46</v>
      </c>
      <c r="J28" s="16">
        <v>42892.393275462964</v>
      </c>
      <c r="K28" t="s">
        <v>6</v>
      </c>
      <c r="L28" t="s">
        <v>44</v>
      </c>
      <c r="M28" s="19">
        <v>42893.438738425924</v>
      </c>
      <c r="N28" s="16"/>
      <c r="O28" s="16"/>
      <c r="P28" s="11"/>
      <c r="Q28" s="9">
        <v>1.0454629629603005</v>
      </c>
      <c r="S28" s="53" t="s">
        <v>280</v>
      </c>
    </row>
    <row r="29" spans="1:19" ht="25.5" x14ac:dyDescent="0.2">
      <c r="A29" s="17" t="s">
        <v>110</v>
      </c>
      <c r="C29" s="17" t="s">
        <v>37</v>
      </c>
      <c r="G29" s="16">
        <v>42891.415185185186</v>
      </c>
      <c r="H29" s="17" t="s">
        <v>5</v>
      </c>
      <c r="I29" s="17" t="s">
        <v>46</v>
      </c>
      <c r="J29" s="16">
        <v>42893.318761574075</v>
      </c>
      <c r="K29" t="s">
        <v>6</v>
      </c>
      <c r="L29" t="s">
        <v>44</v>
      </c>
      <c r="M29" s="19">
        <v>42893.348101851851</v>
      </c>
      <c r="N29" s="16"/>
      <c r="O29" s="16"/>
      <c r="P29" s="11"/>
      <c r="Q29" s="9">
        <v>2.9340277775190771E-2</v>
      </c>
      <c r="S29" s="53" t="s">
        <v>280</v>
      </c>
    </row>
    <row r="30" spans="1:19" ht="25.5" x14ac:dyDescent="0.2">
      <c r="A30" s="17" t="s">
        <v>109</v>
      </c>
      <c r="C30" s="17" t="s">
        <v>37</v>
      </c>
      <c r="G30" s="16">
        <v>42891.50503472222</v>
      </c>
      <c r="H30" s="17" t="s">
        <v>5</v>
      </c>
      <c r="I30" s="17" t="s">
        <v>46</v>
      </c>
      <c r="J30" s="16">
        <v>42891.554837962962</v>
      </c>
      <c r="K30" t="s">
        <v>6</v>
      </c>
      <c r="L30" t="s">
        <v>44</v>
      </c>
      <c r="M30" s="19">
        <v>42891.572048611109</v>
      </c>
      <c r="N30" s="16"/>
      <c r="O30" s="16"/>
      <c r="P30" s="11"/>
      <c r="Q30" s="9">
        <v>1.7210648147738539E-2</v>
      </c>
      <c r="S30" s="53" t="s">
        <v>280</v>
      </c>
    </row>
    <row r="31" spans="1:19" ht="25.5" x14ac:dyDescent="0.2">
      <c r="A31" s="17" t="s">
        <v>96</v>
      </c>
      <c r="C31" s="17" t="s">
        <v>37</v>
      </c>
      <c r="G31" s="16">
        <v>42892.550891203704</v>
      </c>
      <c r="H31" s="17" t="s">
        <v>5</v>
      </c>
      <c r="I31" s="17" t="s">
        <v>46</v>
      </c>
      <c r="J31" s="16">
        <v>42892.554259259261</v>
      </c>
      <c r="K31" t="s">
        <v>6</v>
      </c>
      <c r="L31" t="s">
        <v>44</v>
      </c>
      <c r="M31" s="19">
        <v>42892.555937500001</v>
      </c>
      <c r="N31" s="16"/>
      <c r="O31" s="16"/>
      <c r="P31" s="11"/>
      <c r="Q31" s="9">
        <v>1.6782407401478849E-3</v>
      </c>
      <c r="S31" s="53" t="s">
        <v>280</v>
      </c>
    </row>
    <row r="32" spans="1:19" ht="25.5" x14ac:dyDescent="0.2">
      <c r="A32" s="17" t="s">
        <v>80</v>
      </c>
      <c r="C32" s="17" t="s">
        <v>37</v>
      </c>
      <c r="G32" s="16">
        <v>42893.674687500003</v>
      </c>
      <c r="H32" s="17" t="s">
        <v>5</v>
      </c>
      <c r="I32" s="17" t="s">
        <v>46</v>
      </c>
      <c r="J32" s="16">
        <v>42893.680439814816</v>
      </c>
      <c r="K32" t="s">
        <v>6</v>
      </c>
      <c r="L32" t="s">
        <v>44</v>
      </c>
      <c r="M32" s="19">
        <v>42893.687175925923</v>
      </c>
      <c r="N32" s="16"/>
      <c r="O32" s="16"/>
      <c r="P32" s="11"/>
      <c r="Q32" s="9">
        <v>6.7361111068748869E-3</v>
      </c>
      <c r="S32" s="53" t="s">
        <v>280</v>
      </c>
    </row>
    <row r="33" spans="1:19" ht="25.5" x14ac:dyDescent="0.2">
      <c r="A33" s="17" t="s">
        <v>78</v>
      </c>
      <c r="C33" s="17" t="s">
        <v>37</v>
      </c>
      <c r="G33" s="16">
        <v>42893.697280092594</v>
      </c>
      <c r="H33" s="17" t="s">
        <v>5</v>
      </c>
      <c r="I33" s="17" t="s">
        <v>46</v>
      </c>
      <c r="J33" s="16">
        <v>42894.421134259261</v>
      </c>
      <c r="K33" t="s">
        <v>6</v>
      </c>
      <c r="L33" t="s">
        <v>44</v>
      </c>
      <c r="M33" s="19">
        <v>42894.482662037037</v>
      </c>
      <c r="N33" s="16"/>
      <c r="O33" s="16"/>
      <c r="P33" s="11"/>
      <c r="Q33" s="9">
        <v>6.1527777776063886E-2</v>
      </c>
      <c r="S33" s="53" t="s">
        <v>280</v>
      </c>
    </row>
    <row r="34" spans="1:19" ht="25.5" x14ac:dyDescent="0.2">
      <c r="A34" s="17" t="s">
        <v>75</v>
      </c>
      <c r="C34" s="17" t="s">
        <v>37</v>
      </c>
      <c r="G34" s="16">
        <v>42894.403425925928</v>
      </c>
      <c r="H34" s="17" t="s">
        <v>5</v>
      </c>
      <c r="I34" s="17" t="s">
        <v>46</v>
      </c>
      <c r="J34" s="16">
        <v>42894.476782407408</v>
      </c>
      <c r="K34" t="s">
        <v>6</v>
      </c>
      <c r="L34" t="s">
        <v>44</v>
      </c>
      <c r="M34" s="19">
        <v>42894.482893518521</v>
      </c>
      <c r="N34" s="16"/>
      <c r="O34" s="16"/>
      <c r="P34" s="11"/>
      <c r="Q34" s="9">
        <v>6.1111111135687679E-3</v>
      </c>
      <c r="S34" s="53" t="s">
        <v>280</v>
      </c>
    </row>
    <row r="35" spans="1:19" ht="25.5" x14ac:dyDescent="0.2">
      <c r="A35" s="17" t="s">
        <v>45</v>
      </c>
      <c r="C35" s="17" t="s">
        <v>37</v>
      </c>
      <c r="G35" s="16">
        <v>42895.494143518517</v>
      </c>
      <c r="H35" s="17" t="s">
        <v>5</v>
      </c>
      <c r="I35" s="17" t="s">
        <v>46</v>
      </c>
      <c r="J35" s="16">
        <v>42895.500590277778</v>
      </c>
      <c r="K35" t="s">
        <v>6</v>
      </c>
      <c r="L35" t="s">
        <v>44</v>
      </c>
      <c r="M35" s="19">
        <v>42895.562777777777</v>
      </c>
      <c r="N35" s="16"/>
      <c r="O35" s="16"/>
      <c r="P35" s="11"/>
      <c r="Q35" s="9">
        <v>6.2187499999708962E-2</v>
      </c>
      <c r="S35" s="53" t="s">
        <v>280</v>
      </c>
    </row>
    <row r="36" spans="1:19" ht="25.5" hidden="1" x14ac:dyDescent="0.2">
      <c r="A36" s="20" t="s">
        <v>115</v>
      </c>
      <c r="C36" s="17" t="s">
        <v>37</v>
      </c>
      <c r="G36" s="16">
        <v>42888.605856481481</v>
      </c>
      <c r="H36" s="17" t="s">
        <v>5</v>
      </c>
      <c r="I36" s="17" t="s">
        <v>46</v>
      </c>
      <c r="J36" s="16">
        <v>42888.620324074072</v>
      </c>
      <c r="K36" t="s">
        <v>6</v>
      </c>
      <c r="L36" t="s">
        <v>299</v>
      </c>
      <c r="M36" s="19" t="s">
        <v>300</v>
      </c>
      <c r="N36" s="16"/>
      <c r="O36" s="16"/>
      <c r="P36" s="11"/>
      <c r="S36" s="53" t="s">
        <v>301</v>
      </c>
    </row>
    <row r="37" spans="1:19" ht="25.5" hidden="1" x14ac:dyDescent="0.2">
      <c r="A37" s="17" t="s">
        <v>188</v>
      </c>
      <c r="C37" s="17" t="s">
        <v>37</v>
      </c>
      <c r="G37" s="16">
        <v>42782.332835648151</v>
      </c>
      <c r="H37" s="17" t="s">
        <v>5</v>
      </c>
      <c r="I37" s="17" t="s">
        <v>46</v>
      </c>
      <c r="J37" s="16">
        <v>42782.333807870367</v>
      </c>
      <c r="K37" t="s">
        <v>6</v>
      </c>
      <c r="L37" t="s">
        <v>274</v>
      </c>
      <c r="M37" s="19" t="s">
        <v>275</v>
      </c>
      <c r="N37" s="16"/>
      <c r="O37" s="16"/>
      <c r="P37" s="11"/>
      <c r="S37" s="53" t="s">
        <v>276</v>
      </c>
    </row>
    <row r="38" spans="1:19" ht="25.5" hidden="1" x14ac:dyDescent="0.2">
      <c r="A38" s="17" t="s">
        <v>145</v>
      </c>
      <c r="C38" s="17" t="s">
        <v>37</v>
      </c>
      <c r="G38" s="16">
        <v>42870.669236111113</v>
      </c>
      <c r="H38" s="17" t="s">
        <v>5</v>
      </c>
      <c r="I38" s="17" t="s">
        <v>46</v>
      </c>
      <c r="J38" s="16">
        <v>42870.687303240738</v>
      </c>
      <c r="K38" t="s">
        <v>6</v>
      </c>
      <c r="L38" t="s">
        <v>107</v>
      </c>
      <c r="M38" s="19">
        <v>42870.689039351855</v>
      </c>
      <c r="N38" s="16">
        <v>42870.833993055552</v>
      </c>
      <c r="O38" s="16"/>
      <c r="P38" s="11"/>
      <c r="Q38" s="9">
        <v>1.7361111167701893E-3</v>
      </c>
      <c r="R38" s="9">
        <v>0.14495370369695593</v>
      </c>
      <c r="S38" s="53" t="s">
        <v>276</v>
      </c>
    </row>
    <row r="39" spans="1:19" ht="25.5" hidden="1" x14ac:dyDescent="0.2">
      <c r="A39" s="17" t="s">
        <v>139</v>
      </c>
      <c r="C39" s="17" t="s">
        <v>37</v>
      </c>
      <c r="G39" s="16">
        <v>42877.627627314818</v>
      </c>
      <c r="H39" s="17" t="s">
        <v>5</v>
      </c>
      <c r="I39" s="17" t="s">
        <v>46</v>
      </c>
      <c r="J39" s="16">
        <v>42877.628923611112</v>
      </c>
      <c r="K39" t="s">
        <v>6</v>
      </c>
      <c r="L39" t="s">
        <v>294</v>
      </c>
      <c r="M39" s="19" t="s">
        <v>295</v>
      </c>
      <c r="N39" s="16"/>
      <c r="O39" s="16"/>
      <c r="P39" s="11"/>
      <c r="S39" s="53" t="s">
        <v>276</v>
      </c>
    </row>
    <row r="40" spans="1:19" ht="25.5" hidden="1" x14ac:dyDescent="0.2">
      <c r="A40" s="17" t="s">
        <v>125</v>
      </c>
      <c r="C40" s="17" t="s">
        <v>37</v>
      </c>
      <c r="G40" s="16">
        <v>42885.606956018521</v>
      </c>
      <c r="H40" s="17" t="s">
        <v>5</v>
      </c>
      <c r="I40" s="17" t="s">
        <v>46</v>
      </c>
      <c r="J40" s="16">
        <v>42886.611805555556</v>
      </c>
      <c r="K40" t="s">
        <v>6</v>
      </c>
      <c r="L40" t="s">
        <v>107</v>
      </c>
      <c r="M40" s="19">
        <v>42886.630416666667</v>
      </c>
      <c r="N40" s="16"/>
      <c r="O40" s="16"/>
      <c r="P40" s="11"/>
      <c r="Q40" s="9">
        <v>1.8611111110658385E-2</v>
      </c>
      <c r="S40" s="53" t="s">
        <v>276</v>
      </c>
    </row>
    <row r="41" spans="1:19" ht="25.5" x14ac:dyDescent="0.2">
      <c r="A41" s="17" t="s">
        <v>108</v>
      </c>
      <c r="C41" s="17" t="s">
        <v>37</v>
      </c>
      <c r="G41" s="16">
        <v>42891.516655092593</v>
      </c>
      <c r="H41" s="17" t="s">
        <v>5</v>
      </c>
      <c r="I41" s="17" t="s">
        <v>46</v>
      </c>
      <c r="J41" s="16">
        <v>42891.54115740741</v>
      </c>
      <c r="K41" t="s">
        <v>6</v>
      </c>
      <c r="L41" t="s">
        <v>107</v>
      </c>
      <c r="M41" s="19">
        <v>42891.543425925927</v>
      </c>
      <c r="N41" s="16"/>
      <c r="O41" s="16"/>
      <c r="P41" s="11"/>
      <c r="Q41" s="9">
        <v>2.268518517666962E-3</v>
      </c>
      <c r="S41" s="53" t="s">
        <v>276</v>
      </c>
    </row>
    <row r="42" spans="1:19" ht="25.5" hidden="1" x14ac:dyDescent="0.2">
      <c r="A42" s="17" t="s">
        <v>192</v>
      </c>
      <c r="C42" s="17" t="s">
        <v>65</v>
      </c>
      <c r="G42" s="16">
        <v>42769.390219907407</v>
      </c>
      <c r="H42" s="17" t="s">
        <v>5</v>
      </c>
      <c r="I42" s="17" t="s">
        <v>46</v>
      </c>
      <c r="J42" s="16">
        <v>42835.433182870373</v>
      </c>
      <c r="K42" t="s">
        <v>6</v>
      </c>
      <c r="L42" t="s">
        <v>271</v>
      </c>
      <c r="M42" s="19" t="s">
        <v>272</v>
      </c>
      <c r="N42" s="16">
        <v>42776.5622337963</v>
      </c>
      <c r="O42" s="16"/>
      <c r="P42" s="11"/>
      <c r="R42" s="9">
        <v>-58.87376157406834</v>
      </c>
      <c r="S42" s="53" t="s">
        <v>273</v>
      </c>
    </row>
    <row r="43" spans="1:19" ht="25.5" hidden="1" x14ac:dyDescent="0.2">
      <c r="A43" s="17" t="s">
        <v>152</v>
      </c>
      <c r="C43" s="17" t="s">
        <v>37</v>
      </c>
      <c r="G43" s="16">
        <v>42864.451967592591</v>
      </c>
      <c r="H43" s="17" t="s">
        <v>5</v>
      </c>
      <c r="I43" s="17" t="s">
        <v>46</v>
      </c>
      <c r="J43" s="16">
        <v>42871.570150462961</v>
      </c>
      <c r="K43" t="s">
        <v>6</v>
      </c>
      <c r="L43" t="s">
        <v>277</v>
      </c>
      <c r="M43" s="19" t="s">
        <v>289</v>
      </c>
      <c r="N43" s="16"/>
      <c r="O43" s="16"/>
      <c r="P43" s="11"/>
      <c r="S43" s="53" t="s">
        <v>273</v>
      </c>
    </row>
    <row r="44" spans="1:19" ht="25.5" hidden="1" x14ac:dyDescent="0.2">
      <c r="A44" s="20" t="s">
        <v>185</v>
      </c>
      <c r="C44" s="17" t="s">
        <v>65</v>
      </c>
      <c r="G44" s="16">
        <v>42804.538483796299</v>
      </c>
      <c r="H44" s="17" t="s">
        <v>5</v>
      </c>
      <c r="I44" s="17" t="s">
        <v>46</v>
      </c>
      <c r="J44" s="16">
        <v>42835.441550925927</v>
      </c>
      <c r="K44" t="s">
        <v>6</v>
      </c>
      <c r="L44" t="s">
        <v>277</v>
      </c>
      <c r="M44" s="19" t="s">
        <v>278</v>
      </c>
      <c r="N44" s="16"/>
      <c r="O44" s="16"/>
      <c r="P44" s="11"/>
      <c r="S44" s="53" t="s">
        <v>279</v>
      </c>
    </row>
    <row r="45" spans="1:19" ht="25.5" hidden="1" x14ac:dyDescent="0.2">
      <c r="A45" s="17" t="s">
        <v>238</v>
      </c>
      <c r="C45" s="17" t="s">
        <v>37</v>
      </c>
      <c r="G45" s="16">
        <v>42521.494409722225</v>
      </c>
      <c r="H45" s="17" t="s">
        <v>5</v>
      </c>
      <c r="I45" s="17" t="s">
        <v>46</v>
      </c>
      <c r="J45" s="16">
        <v>42521.644791666666</v>
      </c>
      <c r="K45" t="s">
        <v>6</v>
      </c>
      <c r="L45" t="s">
        <v>239</v>
      </c>
      <c r="M45" s="19">
        <v>42521.64565972222</v>
      </c>
      <c r="N45" s="16"/>
      <c r="O45" s="16"/>
      <c r="P45" s="11"/>
      <c r="Q45" s="9">
        <v>8.6805555474711582E-4</v>
      </c>
      <c r="S45" t="s">
        <v>270</v>
      </c>
    </row>
    <row r="46" spans="1:19" ht="25.5" hidden="1" x14ac:dyDescent="0.2">
      <c r="A46" s="17" t="s">
        <v>233</v>
      </c>
      <c r="C46" s="17" t="s">
        <v>37</v>
      </c>
      <c r="G46" s="16">
        <v>42562.731226851851</v>
      </c>
      <c r="H46" s="17" t="s">
        <v>5</v>
      </c>
      <c r="I46" s="17" t="s">
        <v>46</v>
      </c>
      <c r="J46" s="16">
        <v>42563.515289351853</v>
      </c>
      <c r="K46" t="s">
        <v>6</v>
      </c>
      <c r="L46" t="s">
        <v>44</v>
      </c>
      <c r="M46" s="19">
        <v>42563.516111111108</v>
      </c>
      <c r="N46" s="16"/>
      <c r="O46" s="16"/>
      <c r="P46" s="11"/>
      <c r="Q46" s="9">
        <v>8.2175925490446389E-4</v>
      </c>
      <c r="S46" t="s">
        <v>270</v>
      </c>
    </row>
    <row r="47" spans="1:19" ht="25.5" hidden="1" x14ac:dyDescent="0.2">
      <c r="A47" s="17" t="s">
        <v>232</v>
      </c>
      <c r="C47" s="17" t="s">
        <v>37</v>
      </c>
      <c r="G47" s="16">
        <v>42565.532152777778</v>
      </c>
      <c r="H47" s="17" t="s">
        <v>5</v>
      </c>
      <c r="I47" s="17" t="s">
        <v>46</v>
      </c>
      <c r="J47" s="16">
        <v>42569.575925925928</v>
      </c>
      <c r="K47" t="s">
        <v>6</v>
      </c>
      <c r="L47" t="s">
        <v>44</v>
      </c>
      <c r="M47" s="19">
        <v>42569.593275462961</v>
      </c>
      <c r="N47" s="16"/>
      <c r="O47" s="16"/>
      <c r="P47" s="11"/>
      <c r="Q47" s="9">
        <v>1.7349537032714579E-2</v>
      </c>
      <c r="S47" t="s">
        <v>270</v>
      </c>
    </row>
    <row r="48" spans="1:19" ht="25.5" hidden="1" x14ac:dyDescent="0.2">
      <c r="A48" s="17" t="s">
        <v>230</v>
      </c>
      <c r="C48" s="17" t="s">
        <v>37</v>
      </c>
      <c r="G48" s="16">
        <v>42569.71435185185</v>
      </c>
      <c r="H48" s="17" t="s">
        <v>5</v>
      </c>
      <c r="I48" s="17" t="s">
        <v>46</v>
      </c>
      <c r="J48" s="16">
        <v>42569.71770833333</v>
      </c>
      <c r="K48" t="s">
        <v>6</v>
      </c>
      <c r="L48" t="s">
        <v>44</v>
      </c>
      <c r="M48" s="19">
        <v>42570.412812499999</v>
      </c>
      <c r="N48" s="16"/>
      <c r="O48" s="16"/>
      <c r="P48" s="11"/>
      <c r="Q48" s="9">
        <v>0.69510416666889796</v>
      </c>
      <c r="S48" t="s">
        <v>270</v>
      </c>
    </row>
    <row r="49" spans="1:19" ht="25.5" hidden="1" x14ac:dyDescent="0.2">
      <c r="A49" s="17" t="s">
        <v>224</v>
      </c>
      <c r="C49" s="17" t="s">
        <v>37</v>
      </c>
      <c r="G49" s="16">
        <v>42583.449861111112</v>
      </c>
      <c r="H49" s="17" t="s">
        <v>5</v>
      </c>
      <c r="I49" s="17" t="s">
        <v>46</v>
      </c>
      <c r="J49" s="16">
        <v>42583.455925925926</v>
      </c>
      <c r="K49" t="s">
        <v>6</v>
      </c>
      <c r="L49" t="s">
        <v>44</v>
      </c>
      <c r="M49" s="19">
        <v>42583.463333333333</v>
      </c>
      <c r="N49" s="16"/>
      <c r="O49" s="16"/>
      <c r="P49" s="11"/>
      <c r="Q49" s="9">
        <v>7.4074074072996154E-3</v>
      </c>
      <c r="S49" t="s">
        <v>270</v>
      </c>
    </row>
    <row r="50" spans="1:19" ht="25.5" hidden="1" x14ac:dyDescent="0.2">
      <c r="A50" s="17" t="s">
        <v>220</v>
      </c>
      <c r="C50" s="17" t="s">
        <v>37</v>
      </c>
      <c r="G50" s="16">
        <v>42591.545046296298</v>
      </c>
      <c r="H50" s="17" t="s">
        <v>5</v>
      </c>
      <c r="I50" s="17" t="s">
        <v>46</v>
      </c>
      <c r="J50" s="16">
        <v>42591.552673611113</v>
      </c>
      <c r="K50" t="s">
        <v>6</v>
      </c>
      <c r="L50" t="s">
        <v>44</v>
      </c>
      <c r="M50" s="19">
        <v>42591.57508101852</v>
      </c>
      <c r="N50" s="16"/>
      <c r="O50" s="16"/>
      <c r="P50" s="11"/>
      <c r="Q50" s="9">
        <v>2.2407407406717539E-2</v>
      </c>
      <c r="S50" t="s">
        <v>270</v>
      </c>
    </row>
    <row r="51" spans="1:19" ht="25.5" hidden="1" x14ac:dyDescent="0.2">
      <c r="A51" s="17" t="s">
        <v>209</v>
      </c>
      <c r="C51" s="17" t="s">
        <v>37</v>
      </c>
      <c r="G51" s="16">
        <v>42663.434999999998</v>
      </c>
      <c r="H51" s="17" t="s">
        <v>5</v>
      </c>
      <c r="I51" s="17" t="s">
        <v>46</v>
      </c>
      <c r="J51" s="16">
        <v>42663.439710648148</v>
      </c>
      <c r="K51" t="s">
        <v>6</v>
      </c>
      <c r="L51" t="s">
        <v>187</v>
      </c>
      <c r="M51" s="19">
        <v>42663.51871527778</v>
      </c>
      <c r="N51" s="16"/>
      <c r="O51" s="16"/>
      <c r="P51" s="11"/>
      <c r="Q51" s="9">
        <v>7.9004629631526768E-2</v>
      </c>
      <c r="S51" t="s">
        <v>270</v>
      </c>
    </row>
    <row r="52" spans="1:19" ht="25.5" hidden="1" x14ac:dyDescent="0.2">
      <c r="A52" s="17" t="s">
        <v>207</v>
      </c>
      <c r="C52" s="17" t="s">
        <v>37</v>
      </c>
      <c r="G52" s="16">
        <v>42667.591215277775</v>
      </c>
      <c r="H52" s="17" t="s">
        <v>5</v>
      </c>
      <c r="I52" s="17" t="s">
        <v>46</v>
      </c>
      <c r="J52" s="16">
        <v>42667.608993055554</v>
      </c>
      <c r="K52" t="s">
        <v>6</v>
      </c>
      <c r="L52" t="s">
        <v>44</v>
      </c>
      <c r="M52" s="19">
        <v>42667.649409722224</v>
      </c>
      <c r="N52" s="16"/>
      <c r="O52" s="16"/>
      <c r="P52" s="11"/>
      <c r="Q52" s="9">
        <v>4.0416666670353152E-2</v>
      </c>
      <c r="S52" t="s">
        <v>270</v>
      </c>
    </row>
    <row r="53" spans="1:19" ht="25.5" hidden="1" x14ac:dyDescent="0.2">
      <c r="A53" s="17" t="s">
        <v>204</v>
      </c>
      <c r="C53" s="17" t="s">
        <v>37</v>
      </c>
      <c r="G53" s="16">
        <v>42674.364745370367</v>
      </c>
      <c r="H53" s="17" t="s">
        <v>5</v>
      </c>
      <c r="I53" s="17" t="s">
        <v>46</v>
      </c>
      <c r="J53" s="16">
        <v>42674.368784722225</v>
      </c>
      <c r="K53" t="s">
        <v>6</v>
      </c>
      <c r="L53" t="s">
        <v>44</v>
      </c>
      <c r="M53" s="19">
        <v>42674.39298611111</v>
      </c>
      <c r="N53" s="16"/>
      <c r="O53" s="16"/>
      <c r="P53" s="11"/>
      <c r="Q53" s="9">
        <v>2.4201388885558117E-2</v>
      </c>
      <c r="S53" t="s">
        <v>270</v>
      </c>
    </row>
    <row r="54" spans="1:19" ht="25.5" hidden="1" x14ac:dyDescent="0.2">
      <c r="A54" s="17" t="s">
        <v>202</v>
      </c>
      <c r="C54" s="17" t="s">
        <v>37</v>
      </c>
      <c r="G54" s="16">
        <v>42691.546643518515</v>
      </c>
      <c r="H54" s="17" t="s">
        <v>5</v>
      </c>
      <c r="I54" s="17" t="s">
        <v>46</v>
      </c>
      <c r="J54" s="16">
        <v>42691.547407407408</v>
      </c>
      <c r="K54" t="s">
        <v>6</v>
      </c>
      <c r="L54" t="s">
        <v>44</v>
      </c>
      <c r="M54" s="19">
        <v>42691.592604166668</v>
      </c>
      <c r="N54" s="16"/>
      <c r="O54" s="16"/>
      <c r="P54" s="11"/>
      <c r="Q54" s="9">
        <v>4.5196759259852115E-2</v>
      </c>
      <c r="S54" t="s">
        <v>270</v>
      </c>
    </row>
    <row r="55" spans="1:19" ht="25.5" hidden="1" x14ac:dyDescent="0.2">
      <c r="A55" s="17" t="s">
        <v>199</v>
      </c>
      <c r="C55" s="17" t="s">
        <v>37</v>
      </c>
      <c r="G55" s="16">
        <v>42720.342789351853</v>
      </c>
      <c r="H55" s="17" t="s">
        <v>5</v>
      </c>
      <c r="I55" s="17" t="s">
        <v>46</v>
      </c>
      <c r="J55" s="16">
        <v>42720.42597222222</v>
      </c>
      <c r="K55" t="s">
        <v>6</v>
      </c>
      <c r="L55" t="s">
        <v>44</v>
      </c>
      <c r="M55" s="19">
        <v>42720.4299537037</v>
      </c>
      <c r="N55" s="16"/>
      <c r="O55" s="16"/>
      <c r="P55" s="11"/>
      <c r="Q55" s="9">
        <v>3.9814814808778465E-3</v>
      </c>
      <c r="S55" t="s">
        <v>270</v>
      </c>
    </row>
    <row r="56" spans="1:19" ht="25.5" hidden="1" x14ac:dyDescent="0.2">
      <c r="A56" s="17" t="s">
        <v>186</v>
      </c>
      <c r="C56" s="17" t="s">
        <v>37</v>
      </c>
      <c r="G56" s="16">
        <v>42802.447442129633</v>
      </c>
      <c r="H56" s="17" t="s">
        <v>5</v>
      </c>
      <c r="I56" s="17" t="s">
        <v>46</v>
      </c>
      <c r="J56" s="16">
        <v>42802.452476851853</v>
      </c>
      <c r="K56" t="s">
        <v>6</v>
      </c>
      <c r="L56" t="s">
        <v>187</v>
      </c>
      <c r="M56" s="19">
        <v>42802.50885416667</v>
      </c>
      <c r="N56" s="16"/>
      <c r="O56" s="16"/>
      <c r="P56" s="11"/>
      <c r="Q56" s="9">
        <v>5.6377314816927537E-2</v>
      </c>
      <c r="S56" t="s">
        <v>270</v>
      </c>
    </row>
    <row r="57" spans="1:19" ht="25.5" hidden="1" x14ac:dyDescent="0.2">
      <c r="A57" s="17" t="s">
        <v>183</v>
      </c>
      <c r="C57" s="17" t="s">
        <v>37</v>
      </c>
      <c r="G57" s="16">
        <v>42824.542025462964</v>
      </c>
      <c r="H57" s="17" t="s">
        <v>5</v>
      </c>
      <c r="I57" s="17" t="s">
        <v>46</v>
      </c>
      <c r="J57" s="16">
        <v>42824.542604166665</v>
      </c>
      <c r="K57" t="s">
        <v>6</v>
      </c>
      <c r="L57" t="s">
        <v>44</v>
      </c>
      <c r="M57" s="19">
        <v>42824.544502314813</v>
      </c>
      <c r="N57" s="16"/>
      <c r="O57" s="16"/>
      <c r="P57" s="11"/>
      <c r="Q57" s="9">
        <v>1.898148148029577E-3</v>
      </c>
      <c r="S57" t="s">
        <v>270</v>
      </c>
    </row>
    <row r="58" spans="1:19" ht="25.5" hidden="1" x14ac:dyDescent="0.2">
      <c r="A58" s="17" t="s">
        <v>179</v>
      </c>
      <c r="C58" s="17" t="s">
        <v>37</v>
      </c>
      <c r="G58" s="16">
        <v>42830.609305555554</v>
      </c>
      <c r="H58" s="17" t="s">
        <v>5</v>
      </c>
      <c r="I58" s="17" t="s">
        <v>46</v>
      </c>
      <c r="J58" s="16">
        <v>42830.617175925923</v>
      </c>
      <c r="K58" t="s">
        <v>6</v>
      </c>
      <c r="L58" t="s">
        <v>44</v>
      </c>
      <c r="M58" s="19">
        <v>42830.626620370371</v>
      </c>
      <c r="N58" s="16"/>
      <c r="O58" s="16"/>
      <c r="P58" s="11"/>
      <c r="Q58" s="9">
        <v>9.4444444475811906E-3</v>
      </c>
      <c r="S58" t="s">
        <v>270</v>
      </c>
    </row>
    <row r="59" spans="1:19" ht="25.5" hidden="1" x14ac:dyDescent="0.2">
      <c r="A59" s="17" t="s">
        <v>174</v>
      </c>
      <c r="C59" s="17" t="s">
        <v>37</v>
      </c>
      <c r="G59" s="16">
        <v>42836.635243055556</v>
      </c>
      <c r="H59" s="17" t="s">
        <v>5</v>
      </c>
      <c r="I59" s="17" t="s">
        <v>46</v>
      </c>
      <c r="J59" s="16">
        <v>42836.683807870373</v>
      </c>
      <c r="K59" t="s">
        <v>6</v>
      </c>
      <c r="L59" t="s">
        <v>44</v>
      </c>
      <c r="M59" s="19">
        <v>42836.705694444441</v>
      </c>
      <c r="N59" s="16"/>
      <c r="O59" s="16"/>
      <c r="P59" s="11"/>
      <c r="Q59" s="9">
        <v>2.1886574068048503E-2</v>
      </c>
      <c r="S59" t="s">
        <v>270</v>
      </c>
    </row>
    <row r="60" spans="1:19" ht="25.5" hidden="1" x14ac:dyDescent="0.2">
      <c r="A60" s="17" t="s">
        <v>166</v>
      </c>
      <c r="C60" s="17" t="s">
        <v>37</v>
      </c>
      <c r="G60" s="16">
        <v>42851.61446759259</v>
      </c>
      <c r="H60" s="17" t="s">
        <v>5</v>
      </c>
      <c r="I60" s="17" t="s">
        <v>46</v>
      </c>
      <c r="J60" s="16">
        <v>42851.626701388886</v>
      </c>
      <c r="K60" t="s">
        <v>6</v>
      </c>
      <c r="L60" t="s">
        <v>49</v>
      </c>
      <c r="M60" s="19">
        <v>42851.673032407409</v>
      </c>
      <c r="N60" s="16"/>
      <c r="O60" s="16"/>
      <c r="P60" s="11"/>
      <c r="Q60" s="9">
        <v>4.6331018522323575E-2</v>
      </c>
      <c r="S60" t="s">
        <v>270</v>
      </c>
    </row>
    <row r="61" spans="1:19" ht="25.5" hidden="1" x14ac:dyDescent="0.2">
      <c r="A61" s="17" t="s">
        <v>165</v>
      </c>
      <c r="C61" s="17" t="s">
        <v>37</v>
      </c>
      <c r="G61" s="16">
        <v>42852.448252314818</v>
      </c>
      <c r="H61" s="17" t="s">
        <v>5</v>
      </c>
      <c r="I61" s="17" t="s">
        <v>46</v>
      </c>
      <c r="J61" s="16">
        <v>42852.465578703705</v>
      </c>
      <c r="K61" t="s">
        <v>6</v>
      </c>
      <c r="L61" t="s">
        <v>285</v>
      </c>
      <c r="M61" s="19" t="s">
        <v>286</v>
      </c>
      <c r="N61" s="16"/>
      <c r="O61" s="16"/>
      <c r="P61" s="11"/>
      <c r="S61" t="s">
        <v>270</v>
      </c>
    </row>
    <row r="62" spans="1:19" ht="25.5" hidden="1" x14ac:dyDescent="0.2">
      <c r="A62" s="17" t="s">
        <v>163</v>
      </c>
      <c r="C62" s="17" t="s">
        <v>65</v>
      </c>
      <c r="G62" s="16">
        <v>42853.507175925923</v>
      </c>
      <c r="H62" s="17" t="s">
        <v>5</v>
      </c>
      <c r="I62" s="17" t="s">
        <v>46</v>
      </c>
      <c r="J62" s="16">
        <v>42853.518460648149</v>
      </c>
      <c r="K62" t="s">
        <v>6</v>
      </c>
      <c r="L62" t="s">
        <v>271</v>
      </c>
      <c r="M62" s="19" t="s">
        <v>287</v>
      </c>
      <c r="N62" s="16"/>
      <c r="O62" s="16"/>
      <c r="P62" s="11"/>
      <c r="S62" t="s">
        <v>270</v>
      </c>
    </row>
    <row r="63" spans="1:19" ht="25.5" hidden="1" x14ac:dyDescent="0.2">
      <c r="A63" s="17" t="s">
        <v>160</v>
      </c>
      <c r="C63" s="17" t="s">
        <v>37</v>
      </c>
      <c r="G63" s="16">
        <v>42857.695486111108</v>
      </c>
      <c r="H63" s="17" t="s">
        <v>5</v>
      </c>
      <c r="I63" s="17" t="s">
        <v>46</v>
      </c>
      <c r="J63" s="16">
        <v>42857.696145833332</v>
      </c>
      <c r="K63" t="s">
        <v>6</v>
      </c>
      <c r="L63" t="s">
        <v>49</v>
      </c>
      <c r="M63" s="19">
        <v>42858.32199074074</v>
      </c>
      <c r="N63" s="16"/>
      <c r="O63" s="16"/>
      <c r="P63" s="11"/>
      <c r="Q63" s="9">
        <v>0.62584490740846377</v>
      </c>
      <c r="S63" t="s">
        <v>270</v>
      </c>
    </row>
    <row r="64" spans="1:19" ht="25.5" hidden="1" x14ac:dyDescent="0.2">
      <c r="A64" s="17" t="s">
        <v>140</v>
      </c>
      <c r="C64" s="17" t="s">
        <v>65</v>
      </c>
      <c r="G64" s="16">
        <v>42874.419074074074</v>
      </c>
      <c r="H64" s="17" t="s">
        <v>5</v>
      </c>
      <c r="I64" s="17" t="s">
        <v>46</v>
      </c>
      <c r="J64" s="16">
        <v>42874.43240740741</v>
      </c>
      <c r="K64" t="s">
        <v>6</v>
      </c>
      <c r="L64" t="s">
        <v>44</v>
      </c>
      <c r="M64" s="19">
        <v>42877.396284722221</v>
      </c>
      <c r="N64" s="16"/>
      <c r="O64" s="16"/>
      <c r="P64" s="11"/>
      <c r="Q64" s="9">
        <v>2.9638773148108157</v>
      </c>
      <c r="S64" t="s">
        <v>270</v>
      </c>
    </row>
    <row r="65" spans="1:19" ht="25.5" hidden="1" x14ac:dyDescent="0.2">
      <c r="A65" s="17" t="s">
        <v>119</v>
      </c>
      <c r="C65" s="17" t="s">
        <v>37</v>
      </c>
      <c r="G65" s="16">
        <v>42888.379907407405</v>
      </c>
      <c r="H65" s="17" t="s">
        <v>5</v>
      </c>
      <c r="I65" s="17" t="s">
        <v>46</v>
      </c>
      <c r="J65" s="16">
        <v>42888.386574074073</v>
      </c>
      <c r="K65" t="s">
        <v>6</v>
      </c>
      <c r="L65" t="s">
        <v>49</v>
      </c>
      <c r="M65" s="19">
        <v>42891.405092592591</v>
      </c>
      <c r="N65" s="16"/>
      <c r="O65" s="16"/>
      <c r="P65" s="11"/>
      <c r="Q65" s="9">
        <v>3.018518518518249</v>
      </c>
      <c r="S65" s="57" t="s">
        <v>270</v>
      </c>
    </row>
    <row r="66" spans="1:19" ht="25.5" hidden="1" x14ac:dyDescent="0.2">
      <c r="A66" s="17" t="s">
        <v>262</v>
      </c>
      <c r="C66" s="17" t="s">
        <v>37</v>
      </c>
      <c r="G66" s="16">
        <v>42352.477118055554</v>
      </c>
      <c r="H66" s="17" t="s">
        <v>5</v>
      </c>
      <c r="I66" s="17" t="s">
        <v>46</v>
      </c>
      <c r="J66" s="16">
        <v>42352.482245370367</v>
      </c>
      <c r="L66" t="s">
        <v>269</v>
      </c>
      <c r="N66" s="16"/>
      <c r="O66" s="16"/>
      <c r="P66" s="11"/>
    </row>
    <row r="67" spans="1:19" ht="25.5" hidden="1" x14ac:dyDescent="0.2">
      <c r="A67" s="17" t="s">
        <v>261</v>
      </c>
      <c r="C67" s="17" t="s">
        <v>65</v>
      </c>
      <c r="G67" s="16">
        <v>42377.266238425924</v>
      </c>
      <c r="H67" s="17" t="s">
        <v>5</v>
      </c>
      <c r="I67" s="17" t="s">
        <v>46</v>
      </c>
      <c r="J67" s="16">
        <v>42377.269282407404</v>
      </c>
      <c r="L67" t="s">
        <v>269</v>
      </c>
      <c r="N67" s="16"/>
      <c r="O67" s="16"/>
      <c r="P67" s="11"/>
    </row>
    <row r="68" spans="1:19" ht="25.5" hidden="1" x14ac:dyDescent="0.2">
      <c r="A68" s="17" t="s">
        <v>260</v>
      </c>
      <c r="C68" s="17" t="s">
        <v>37</v>
      </c>
      <c r="G68" s="16">
        <v>42396.450509259259</v>
      </c>
      <c r="H68" s="17" t="s">
        <v>5</v>
      </c>
      <c r="I68" s="17" t="s">
        <v>46</v>
      </c>
      <c r="J68" s="16">
        <v>42396.459768518522</v>
      </c>
      <c r="L68" t="s">
        <v>269</v>
      </c>
      <c r="N68" s="16"/>
      <c r="O68" s="16"/>
      <c r="P68" s="11"/>
    </row>
    <row r="69" spans="1:19" ht="25.5" hidden="1" x14ac:dyDescent="0.2">
      <c r="A69" s="17" t="s">
        <v>258</v>
      </c>
      <c r="C69" s="17" t="s">
        <v>37</v>
      </c>
      <c r="G69" s="16">
        <v>42406.554097222222</v>
      </c>
      <c r="H69" s="17" t="s">
        <v>5</v>
      </c>
      <c r="I69" s="17" t="s">
        <v>46</v>
      </c>
      <c r="J69" s="16">
        <v>42406.587685185186</v>
      </c>
      <c r="L69" t="s">
        <v>269</v>
      </c>
      <c r="N69" s="16">
        <v>42406.556539351855</v>
      </c>
      <c r="O69" s="16"/>
      <c r="P69" s="11"/>
    </row>
    <row r="70" spans="1:19" ht="25.5" hidden="1" x14ac:dyDescent="0.2">
      <c r="A70" s="17" t="s">
        <v>257</v>
      </c>
      <c r="C70" s="17" t="s">
        <v>37</v>
      </c>
      <c r="G70" s="16">
        <v>42431.108217592591</v>
      </c>
      <c r="H70" s="17" t="s">
        <v>5</v>
      </c>
      <c r="I70" s="17" t="s">
        <v>46</v>
      </c>
      <c r="J70" s="16">
        <v>42431.445856481485</v>
      </c>
      <c r="L70" t="s">
        <v>269</v>
      </c>
      <c r="N70" s="16"/>
      <c r="O70" s="16"/>
      <c r="P70" s="11"/>
    </row>
    <row r="71" spans="1:19" ht="25.5" hidden="1" x14ac:dyDescent="0.2">
      <c r="A71" s="17" t="s">
        <v>256</v>
      </c>
      <c r="C71" s="17" t="s">
        <v>37</v>
      </c>
      <c r="G71" s="16">
        <v>42445.057893518519</v>
      </c>
      <c r="H71" s="17" t="s">
        <v>5</v>
      </c>
      <c r="I71" s="17" t="s">
        <v>46</v>
      </c>
      <c r="J71" s="16">
        <v>42445.097025462965</v>
      </c>
      <c r="L71" t="s">
        <v>269</v>
      </c>
      <c r="N71" s="16"/>
      <c r="O71" s="16"/>
      <c r="P71" s="11"/>
    </row>
    <row r="72" spans="1:19" ht="25.5" hidden="1" x14ac:dyDescent="0.2">
      <c r="A72" s="17" t="s">
        <v>250</v>
      </c>
      <c r="C72" s="17" t="s">
        <v>37</v>
      </c>
      <c r="G72" s="16">
        <v>42468.410231481481</v>
      </c>
      <c r="H72" s="17" t="s">
        <v>5</v>
      </c>
      <c r="I72" s="17" t="s">
        <v>46</v>
      </c>
      <c r="J72" s="16">
        <v>42468.411909722221</v>
      </c>
      <c r="L72" t="s">
        <v>269</v>
      </c>
      <c r="N72" s="16"/>
      <c r="O72" s="16"/>
      <c r="P72" s="11"/>
    </row>
    <row r="73" spans="1:19" ht="25.5" hidden="1" x14ac:dyDescent="0.2">
      <c r="A73" s="17" t="s">
        <v>242</v>
      </c>
      <c r="C73" s="17" t="s">
        <v>37</v>
      </c>
      <c r="G73" s="16">
        <v>42489.438391203701</v>
      </c>
      <c r="H73" s="17" t="s">
        <v>5</v>
      </c>
      <c r="I73" s="17" t="s">
        <v>46</v>
      </c>
      <c r="J73" s="16">
        <v>42489.43891203704</v>
      </c>
      <c r="L73" t="s">
        <v>269</v>
      </c>
      <c r="N73" s="16"/>
      <c r="O73" s="16"/>
      <c r="P73" s="11"/>
    </row>
    <row r="74" spans="1:19" ht="25.5" hidden="1" x14ac:dyDescent="0.2">
      <c r="A74" s="17" t="s">
        <v>231</v>
      </c>
      <c r="C74" s="17" t="s">
        <v>37</v>
      </c>
      <c r="G74" s="16">
        <v>42565.580069444448</v>
      </c>
      <c r="H74" s="17" t="s">
        <v>5</v>
      </c>
      <c r="I74" s="17" t="s">
        <v>46</v>
      </c>
      <c r="J74" s="16">
        <v>42565.589791666665</v>
      </c>
      <c r="L74" t="s">
        <v>269</v>
      </c>
      <c r="N74" s="16"/>
      <c r="O74" s="16"/>
      <c r="P74" s="11"/>
    </row>
    <row r="75" spans="1:19" ht="25.5" hidden="1" x14ac:dyDescent="0.2">
      <c r="A75" s="17" t="s">
        <v>206</v>
      </c>
      <c r="C75" s="17" t="s">
        <v>37</v>
      </c>
      <c r="G75" s="16">
        <v>42669.54042824074</v>
      </c>
      <c r="H75" s="17" t="s">
        <v>5</v>
      </c>
      <c r="I75" s="17" t="s">
        <v>46</v>
      </c>
      <c r="J75" s="16">
        <v>42669.541192129633</v>
      </c>
      <c r="L75" t="s">
        <v>269</v>
      </c>
      <c r="N75" s="16"/>
      <c r="O75" s="16"/>
      <c r="P75" s="11"/>
    </row>
    <row r="76" spans="1:19" ht="25.5" hidden="1" x14ac:dyDescent="0.2">
      <c r="A76" s="17" t="s">
        <v>193</v>
      </c>
      <c r="C76" s="17" t="s">
        <v>65</v>
      </c>
      <c r="G76" s="16">
        <v>42760.494085648148</v>
      </c>
      <c r="H76" s="17" t="s">
        <v>5</v>
      </c>
      <c r="I76" s="17" t="s">
        <v>46</v>
      </c>
      <c r="J76" s="16">
        <v>42760.495347222219</v>
      </c>
      <c r="L76" t="s">
        <v>269</v>
      </c>
      <c r="N76" s="16"/>
      <c r="O76" s="16"/>
      <c r="P76" s="11"/>
    </row>
    <row r="77" spans="1:19" ht="25.5" hidden="1" x14ac:dyDescent="0.2">
      <c r="A77" s="17" t="s">
        <v>184</v>
      </c>
      <c r="C77" s="17" t="s">
        <v>37</v>
      </c>
      <c r="G77" s="16">
        <v>42823.55201388889</v>
      </c>
      <c r="H77" s="17" t="s">
        <v>5</v>
      </c>
      <c r="I77" s="17" t="s">
        <v>46</v>
      </c>
      <c r="J77" s="16">
        <v>42825.372002314813</v>
      </c>
      <c r="L77" t="s">
        <v>269</v>
      </c>
      <c r="N77" s="16">
        <v>42824.44090277778</v>
      </c>
      <c r="O77" s="16"/>
      <c r="P77" s="11"/>
    </row>
    <row r="78" spans="1:19" ht="25.5" hidden="1" x14ac:dyDescent="0.2">
      <c r="A78" s="17" t="s">
        <v>175</v>
      </c>
      <c r="C78" s="17" t="s">
        <v>37</v>
      </c>
      <c r="G78" s="16">
        <v>42835.315844907411</v>
      </c>
      <c r="H78" s="17" t="s">
        <v>5</v>
      </c>
      <c r="I78" s="17" t="s">
        <v>46</v>
      </c>
      <c r="J78" s="16">
        <v>42835.371655092589</v>
      </c>
      <c r="L78" t="s">
        <v>269</v>
      </c>
      <c r="N78" s="16"/>
      <c r="O78" s="16"/>
      <c r="P78" s="11"/>
    </row>
    <row r="79" spans="1:19" ht="25.5" hidden="1" x14ac:dyDescent="0.2">
      <c r="A79" s="17" t="s">
        <v>170</v>
      </c>
      <c r="C79" s="17" t="s">
        <v>37</v>
      </c>
      <c r="G79" s="16">
        <v>42846.585173611114</v>
      </c>
      <c r="H79" s="17" t="s">
        <v>5</v>
      </c>
      <c r="I79" s="17" t="s">
        <v>46</v>
      </c>
      <c r="J79" s="16">
        <v>42846.605694444443</v>
      </c>
      <c r="L79" t="s">
        <v>269</v>
      </c>
      <c r="N79" s="16"/>
      <c r="O79" s="16"/>
      <c r="P79" s="11"/>
    </row>
    <row r="80" spans="1:19" ht="25.5" hidden="1" x14ac:dyDescent="0.2">
      <c r="A80" s="17" t="s">
        <v>134</v>
      </c>
      <c r="C80" s="17" t="s">
        <v>37</v>
      </c>
      <c r="G80" s="16">
        <v>42881.333564814813</v>
      </c>
      <c r="H80" s="17" t="s">
        <v>5</v>
      </c>
      <c r="I80" s="17" t="s">
        <v>46</v>
      </c>
      <c r="J80" s="16">
        <v>42881.638425925928</v>
      </c>
      <c r="L80" t="s">
        <v>269</v>
      </c>
      <c r="N80" s="16"/>
      <c r="O80" s="16"/>
      <c r="P80" s="11"/>
    </row>
    <row r="90" spans="1:26" ht="15" x14ac:dyDescent="0.2">
      <c r="A90" s="22"/>
      <c r="B90" s="23"/>
      <c r="C90" s="24"/>
      <c r="D90" s="24" t="s">
        <v>304</v>
      </c>
      <c r="E90" s="24"/>
      <c r="F90" s="22"/>
      <c r="G90" s="22"/>
      <c r="H90" s="22"/>
      <c r="I90" s="22"/>
      <c r="J90" s="22"/>
      <c r="K90" s="22"/>
      <c r="L90" s="24" t="s">
        <v>304</v>
      </c>
      <c r="M90" s="22"/>
      <c r="N90" s="22"/>
      <c r="O90" s="22"/>
      <c r="P90" s="22"/>
      <c r="Q90" s="22"/>
      <c r="R90" s="22"/>
      <c r="S90" s="22"/>
      <c r="T90" s="22"/>
      <c r="U90" s="24" t="s">
        <v>304</v>
      </c>
      <c r="V90" s="22"/>
      <c r="W90" s="22"/>
      <c r="X90" s="22"/>
      <c r="Y90" s="22"/>
      <c r="Z90" s="22"/>
    </row>
    <row r="91" spans="1:26" ht="15" x14ac:dyDescent="0.2">
      <c r="A91" s="22"/>
      <c r="B91" s="22"/>
      <c r="C91" s="24"/>
      <c r="D91" s="24" t="s">
        <v>304</v>
      </c>
      <c r="E91" s="24"/>
      <c r="F91" s="22"/>
      <c r="G91" s="22"/>
      <c r="H91" s="22"/>
      <c r="I91" s="22"/>
      <c r="J91" s="22"/>
      <c r="K91" s="22"/>
      <c r="L91" s="24" t="s">
        <v>304</v>
      </c>
      <c r="M91" s="24"/>
      <c r="N91" s="22"/>
      <c r="O91" s="25"/>
      <c r="P91" s="26"/>
      <c r="Q91" s="26"/>
      <c r="R91" s="26"/>
      <c r="S91" s="27"/>
      <c r="T91" s="26"/>
      <c r="U91" s="24" t="s">
        <v>304</v>
      </c>
      <c r="V91" s="26"/>
      <c r="W91" s="22"/>
      <c r="X91" s="22"/>
      <c r="Y91" s="22"/>
      <c r="Z91" s="22"/>
    </row>
    <row r="92" spans="1:26" ht="15" x14ac:dyDescent="0.2">
      <c r="A92" s="22"/>
      <c r="B92" s="22"/>
      <c r="C92" s="24"/>
      <c r="D92" s="24" t="s">
        <v>304</v>
      </c>
      <c r="E92" s="24"/>
      <c r="F92" s="22"/>
      <c r="G92" s="22"/>
      <c r="H92" s="22"/>
      <c r="I92" s="22"/>
      <c r="J92" s="22"/>
      <c r="K92" s="22"/>
      <c r="L92" s="24" t="s">
        <v>304</v>
      </c>
      <c r="M92" s="22"/>
      <c r="N92" s="22"/>
      <c r="O92" s="22"/>
      <c r="P92" s="22"/>
      <c r="Q92" s="22"/>
      <c r="R92" s="22"/>
      <c r="S92" s="22"/>
      <c r="T92" s="22"/>
      <c r="U92" s="24" t="s">
        <v>304</v>
      </c>
      <c r="V92" s="22"/>
      <c r="W92" s="22"/>
      <c r="X92" s="22"/>
      <c r="Y92" s="22"/>
      <c r="Z92" s="22"/>
    </row>
    <row r="93" spans="1:26" ht="15" x14ac:dyDescent="0.2">
      <c r="A93" s="22"/>
      <c r="B93" s="22"/>
      <c r="C93" s="24"/>
      <c r="D93" s="24" t="s">
        <v>304</v>
      </c>
      <c r="E93" s="24"/>
      <c r="F93" s="22"/>
      <c r="G93" s="22"/>
      <c r="H93" s="22"/>
      <c r="I93" s="22"/>
      <c r="J93" s="22"/>
      <c r="K93" s="22"/>
      <c r="L93" s="24" t="s">
        <v>304</v>
      </c>
      <c r="M93" s="24"/>
      <c r="N93" s="22"/>
      <c r="O93" s="25"/>
      <c r="P93" s="26"/>
      <c r="Q93" s="26"/>
      <c r="R93" s="26"/>
      <c r="S93" s="27"/>
      <c r="T93" s="26"/>
      <c r="U93" s="24" t="s">
        <v>304</v>
      </c>
      <c r="V93" s="26"/>
      <c r="W93" s="22"/>
      <c r="X93" s="22"/>
      <c r="Y93" s="22"/>
      <c r="Z93" s="22"/>
    </row>
    <row r="94" spans="1:26" ht="15" x14ac:dyDescent="0.2">
      <c r="A94" s="22"/>
      <c r="B94" s="22"/>
      <c r="C94" s="24"/>
      <c r="D94" s="24" t="s">
        <v>304</v>
      </c>
      <c r="E94" s="24"/>
      <c r="F94" s="22"/>
      <c r="G94" s="22"/>
      <c r="H94" s="22"/>
      <c r="I94" s="22"/>
      <c r="J94" s="22"/>
      <c r="K94" s="22"/>
      <c r="L94" s="24" t="s">
        <v>304</v>
      </c>
      <c r="M94" s="24"/>
      <c r="N94" s="22"/>
      <c r="O94" s="25"/>
      <c r="P94" s="26"/>
      <c r="Q94" s="26"/>
      <c r="R94" s="26"/>
      <c r="S94" s="27"/>
      <c r="T94" s="26"/>
      <c r="U94" s="24" t="s">
        <v>304</v>
      </c>
      <c r="V94" s="26"/>
      <c r="W94" s="22"/>
      <c r="X94" s="22"/>
      <c r="Y94" s="22"/>
      <c r="Z94" s="22"/>
    </row>
    <row r="95" spans="1:26" ht="51" x14ac:dyDescent="0.2">
      <c r="A95" s="28"/>
      <c r="B95" s="4"/>
      <c r="C95" s="28"/>
      <c r="D95" s="4"/>
      <c r="E95" s="4"/>
      <c r="F95" s="29"/>
      <c r="G95" s="4"/>
      <c r="H95" s="30" t="s">
        <v>305</v>
      </c>
      <c r="I95" s="31">
        <v>23</v>
      </c>
      <c r="J95" s="4"/>
      <c r="K95" s="6"/>
      <c r="L95" s="6"/>
      <c r="M95" s="6"/>
      <c r="N95" s="32" t="s">
        <v>306</v>
      </c>
      <c r="O95" s="4">
        <v>1</v>
      </c>
      <c r="P95" s="21"/>
      <c r="Q95" s="6"/>
      <c r="R95" s="6"/>
      <c r="S95" s="6"/>
      <c r="X95" s="33"/>
      <c r="Y95" s="33"/>
      <c r="Z95" s="33"/>
    </row>
    <row r="96" spans="1:26" ht="25.5" x14ac:dyDescent="0.2">
      <c r="A96" s="28"/>
      <c r="B96" s="4"/>
      <c r="C96" s="28"/>
      <c r="D96" s="4"/>
      <c r="E96" s="4"/>
      <c r="F96" s="29"/>
      <c r="G96" s="4"/>
      <c r="H96" s="34" t="s">
        <v>307</v>
      </c>
      <c r="I96" s="31">
        <v>0</v>
      </c>
      <c r="J96" s="4"/>
      <c r="K96" s="6"/>
      <c r="L96" s="6"/>
      <c r="M96" s="6"/>
      <c r="N96" s="35" t="s">
        <v>308</v>
      </c>
      <c r="O96" s="4">
        <v>0</v>
      </c>
      <c r="Q96" s="6"/>
      <c r="R96" s="6"/>
      <c r="S96" s="6"/>
    </row>
    <row r="97" spans="1:26" ht="25.5" x14ac:dyDescent="0.2">
      <c r="A97" s="28"/>
      <c r="B97" s="4"/>
      <c r="C97" s="28"/>
      <c r="D97" s="4"/>
      <c r="E97" s="4"/>
      <c r="F97" s="29"/>
      <c r="G97" s="4"/>
      <c r="H97" s="36" t="s">
        <v>309</v>
      </c>
      <c r="I97">
        <v>6</v>
      </c>
      <c r="J97" s="4"/>
      <c r="K97" s="6"/>
      <c r="L97" s="6"/>
      <c r="M97" s="6"/>
      <c r="N97" s="34" t="s">
        <v>307</v>
      </c>
      <c r="O97" s="4">
        <f>I96</f>
        <v>0</v>
      </c>
      <c r="Q97" s="6"/>
      <c r="R97" s="6"/>
      <c r="S97" s="6"/>
    </row>
    <row r="98" spans="1:26" ht="25.5" x14ac:dyDescent="0.2">
      <c r="A98" s="28"/>
      <c r="B98" s="4"/>
      <c r="E98" s="4" t="s">
        <v>310</v>
      </c>
      <c r="F98" s="37">
        <f>R98+O98+L98-I98</f>
        <v>38</v>
      </c>
      <c r="G98" s="4"/>
      <c r="H98" s="4" t="s">
        <v>311</v>
      </c>
      <c r="I98" s="31">
        <f>I95+I96+I97</f>
        <v>29</v>
      </c>
      <c r="J98" s="4"/>
      <c r="K98" s="38" t="s">
        <v>312</v>
      </c>
      <c r="L98" s="31">
        <v>23</v>
      </c>
      <c r="M98" s="6"/>
      <c r="N98" s="4" t="s">
        <v>311</v>
      </c>
      <c r="O98" s="31">
        <f>SUM(O95:O97)</f>
        <v>1</v>
      </c>
      <c r="Q98" s="39" t="s">
        <v>313</v>
      </c>
      <c r="R98" s="40">
        <v>43</v>
      </c>
      <c r="U98" s="41" t="s">
        <v>314</v>
      </c>
      <c r="V98" s="42"/>
      <c r="W98" s="42"/>
      <c r="X98" s="42"/>
      <c r="Y98" s="42"/>
      <c r="Z98" s="41"/>
    </row>
    <row r="99" spans="1:26" x14ac:dyDescent="0.2">
      <c r="A99" s="28"/>
      <c r="B99" s="4"/>
      <c r="E99" s="28" t="s">
        <v>315</v>
      </c>
      <c r="F99" s="4">
        <v>47</v>
      </c>
      <c r="H99" s="28"/>
      <c r="I99" s="28"/>
      <c r="J99" s="43"/>
      <c r="K99" s="4"/>
      <c r="L99" s="4"/>
      <c r="M99" s="4"/>
      <c r="O99" s="44"/>
      <c r="Q99"/>
      <c r="R99" s="45"/>
      <c r="U99" s="41" t="s">
        <v>316</v>
      </c>
      <c r="V99" s="41" t="s">
        <v>317</v>
      </c>
      <c r="W99" s="41" t="s">
        <v>318</v>
      </c>
      <c r="X99" s="41" t="s">
        <v>319</v>
      </c>
      <c r="Y99" s="41" t="s">
        <v>320</v>
      </c>
      <c r="Z99" s="41" t="s">
        <v>321</v>
      </c>
    </row>
    <row r="100" spans="1:26" x14ac:dyDescent="0.2">
      <c r="A100" s="28"/>
      <c r="B100" s="4"/>
      <c r="C100" s="28"/>
      <c r="D100" s="4"/>
      <c r="E100" s="5" t="s">
        <v>322</v>
      </c>
      <c r="F100" s="4">
        <v>44</v>
      </c>
      <c r="G100" s="43"/>
      <c r="H100" s="28"/>
      <c r="I100" s="28"/>
      <c r="J100" s="43"/>
      <c r="K100" s="4"/>
      <c r="L100" s="4"/>
      <c r="M100" s="4"/>
      <c r="O100" s="44"/>
      <c r="Q100"/>
      <c r="R100" s="45"/>
      <c r="U100" s="41" t="s">
        <v>323</v>
      </c>
      <c r="V100" s="41" t="s">
        <v>324</v>
      </c>
      <c r="W100" s="46">
        <f>IFERROR(AVERAGEIF($C$2:$C89, U100,$Y$2:$Y89), 0)</f>
        <v>0</v>
      </c>
      <c r="X100" s="41">
        <f>COUNTIF($C$2:$C89, $U100)</f>
        <v>0</v>
      </c>
      <c r="Y100" s="41">
        <f>COUNTIFS($C$2:$C89, $U100, $Z$2:$Z89, "y")</f>
        <v>0</v>
      </c>
      <c r="Z100" s="47">
        <f>IFERROR(Y100/X100, 0)</f>
        <v>0</v>
      </c>
    </row>
    <row r="101" spans="1:26" ht="15" x14ac:dyDescent="0.2">
      <c r="A101" s="4"/>
      <c r="B101" s="1"/>
      <c r="C101" s="1"/>
      <c r="D101" s="4"/>
      <c r="E101" s="4"/>
      <c r="F101" s="4"/>
      <c r="G101" s="4"/>
      <c r="H101" s="4"/>
      <c r="I101" s="5"/>
      <c r="J101" s="4"/>
      <c r="K101" s="4"/>
      <c r="L101" s="5"/>
      <c r="M101" s="4"/>
      <c r="N101" s="6"/>
      <c r="O101" s="44"/>
      <c r="P101" s="6"/>
      <c r="Q101" s="6"/>
      <c r="R101"/>
      <c r="U101" s="41" t="s">
        <v>325</v>
      </c>
      <c r="V101" s="41" t="s">
        <v>326</v>
      </c>
      <c r="W101" s="46">
        <f>IFERROR(AVERAGEIF($C$2:$C89, U101,$Y$2:$Y89), 0)</f>
        <v>0</v>
      </c>
      <c r="X101" s="41">
        <f>COUNTIF($C$2:$C89, $U101)</f>
        <v>0</v>
      </c>
      <c r="Y101" s="41">
        <f>COUNTIFS($C$2:$C89, $U101, $Z$2:$Z89, "y")</f>
        <v>0</v>
      </c>
      <c r="Z101" s="47">
        <f>IFERROR(Y101/X101, 0)</f>
        <v>0</v>
      </c>
    </row>
    <row r="102" spans="1:26" ht="25.5" x14ac:dyDescent="0.2">
      <c r="A102" s="4"/>
      <c r="B102" s="4"/>
      <c r="C102" s="4"/>
      <c r="D102" s="4"/>
      <c r="E102" s="4"/>
      <c r="F102" s="4"/>
      <c r="G102" s="48" t="s">
        <v>327</v>
      </c>
      <c r="H102" s="48" t="s">
        <v>328</v>
      </c>
      <c r="I102" s="48" t="s">
        <v>329</v>
      </c>
      <c r="J102" s="48" t="s">
        <v>330</v>
      </c>
      <c r="K102" s="48" t="s">
        <v>331</v>
      </c>
      <c r="L102" s="4"/>
      <c r="M102" s="4"/>
      <c r="O102" s="44"/>
      <c r="Q102"/>
      <c r="R102"/>
      <c r="U102" s="41" t="s">
        <v>37</v>
      </c>
      <c r="V102" s="41" t="s">
        <v>332</v>
      </c>
      <c r="W102" s="46">
        <f>IFERROR(AVERAGEIF($C$2:$C89, U102,$Y$2:$Y89), 0)</f>
        <v>0</v>
      </c>
      <c r="X102" s="41">
        <f>COUNTIF($C$2:$C89, $U102)</f>
        <v>67</v>
      </c>
      <c r="Y102" s="41">
        <f>COUNTIFS($C$2:$C89, $U102, $Z$2:$Z89, "y")</f>
        <v>0</v>
      </c>
      <c r="Z102" s="47">
        <f>IFERROR(Y102/X102, 0)</f>
        <v>0</v>
      </c>
    </row>
    <row r="103" spans="1:26" x14ac:dyDescent="0.2">
      <c r="A103" s="4"/>
      <c r="B103" s="4"/>
      <c r="C103" s="4"/>
      <c r="D103" s="4"/>
      <c r="E103" s="4"/>
      <c r="F103" s="4"/>
      <c r="G103" s="49">
        <f>F98</f>
        <v>38</v>
      </c>
      <c r="H103" s="48">
        <f>I98</f>
        <v>29</v>
      </c>
      <c r="I103" s="48">
        <f>L98</f>
        <v>23</v>
      </c>
      <c r="J103" s="48">
        <f>O98</f>
        <v>1</v>
      </c>
      <c r="K103" s="50">
        <f>R98</f>
        <v>43</v>
      </c>
      <c r="L103" s="4"/>
      <c r="M103" s="4"/>
      <c r="O103" s="44"/>
      <c r="Q103"/>
      <c r="R103"/>
      <c r="U103" s="41" t="s">
        <v>65</v>
      </c>
      <c r="V103" s="41" t="s">
        <v>333</v>
      </c>
      <c r="W103" s="46">
        <f>IFERROR(AVERAGEIF($C$2:$C89, U103,$Y$2:$Y89), 0)</f>
        <v>0</v>
      </c>
      <c r="X103" s="41">
        <f>COUNTIF($C$2:$C89, $U103)</f>
        <v>12</v>
      </c>
      <c r="Y103" s="41">
        <f>COUNTIFS($C$2:$C89, $U103, $Z$2:$Z89, "y")</f>
        <v>0</v>
      </c>
      <c r="Z103" s="47">
        <f>IFERROR(Y103/X103, 0)</f>
        <v>0</v>
      </c>
    </row>
    <row r="104" spans="1:26" ht="15" x14ac:dyDescent="0.2">
      <c r="A104" s="51"/>
      <c r="B104" s="51"/>
      <c r="C104" s="52"/>
      <c r="D104" s="52"/>
      <c r="E104" s="52"/>
      <c r="F104" s="51"/>
      <c r="G104" s="51"/>
      <c r="H104" s="51"/>
      <c r="I104" s="51"/>
      <c r="J104" s="51"/>
      <c r="K104" s="51"/>
      <c r="L104" s="52"/>
      <c r="M104" s="51"/>
      <c r="N104" s="51"/>
      <c r="O104" s="51"/>
      <c r="P104" s="51"/>
      <c r="Q104" s="51"/>
      <c r="R104" s="51"/>
      <c r="S104" s="51"/>
      <c r="T104" s="51"/>
      <c r="U104" s="41" t="s">
        <v>311</v>
      </c>
      <c r="V104" s="41"/>
      <c r="W104" s="46">
        <f>IFERROR(AVERAGE($Y$2:$Y89), 0)</f>
        <v>0</v>
      </c>
      <c r="X104" s="41">
        <f>SUM(X100:X103)</f>
        <v>79</v>
      </c>
      <c r="Y104" s="41">
        <f>SUM(Y100:Y103)</f>
        <v>0</v>
      </c>
      <c r="Z104" s="47">
        <f>IFERROR(Y104/X104, 0)</f>
        <v>0</v>
      </c>
    </row>
    <row r="105" spans="1:26" ht="15" x14ac:dyDescent="0.2">
      <c r="A105" s="22"/>
      <c r="B105" s="22"/>
      <c r="C105" s="24"/>
      <c r="D105" s="24" t="s">
        <v>304</v>
      </c>
      <c r="E105" s="24"/>
      <c r="F105" s="22"/>
      <c r="G105" s="22"/>
      <c r="H105" s="22"/>
      <c r="I105" s="22"/>
      <c r="J105" s="22"/>
      <c r="K105" s="22"/>
      <c r="L105" s="24" t="s">
        <v>304</v>
      </c>
      <c r="M105" s="24"/>
      <c r="N105" s="22"/>
      <c r="O105" s="25"/>
      <c r="P105" s="26"/>
      <c r="Q105" s="26"/>
      <c r="R105" s="26"/>
      <c r="S105" s="27"/>
      <c r="T105" s="26"/>
      <c r="U105" s="24" t="s">
        <v>304</v>
      </c>
      <c r="V105" s="26"/>
      <c r="W105" s="22"/>
      <c r="X105" s="22"/>
      <c r="Y105" s="22"/>
      <c r="Z105" s="22"/>
    </row>
  </sheetData>
  <autoFilter ref="A1:S80">
    <filterColumn colId="9">
      <filters>
        <dateGroupItem year="2017" month="6" day="5" dateTimeGrouping="day"/>
        <dateGroupItem year="2017" month="6" day="6" dateTimeGrouping="day"/>
        <dateGroupItem year="2017" month="6" day="7" dateTimeGrouping="day"/>
        <dateGroupItem year="2017" month="6" day="8" dateTimeGrouping="day"/>
        <dateGroupItem year="2017" month="6" day="9" dateTimeGrouping="day"/>
      </filters>
    </filterColumn>
    <sortState ref="A2:S80">
      <sortCondition ref="S1:S80"/>
    </sortState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62"/>
  <sheetViews>
    <sheetView workbookViewId="0">
      <pane ySplit="1" topLeftCell="A539" activePane="bottomLeft" state="frozen"/>
      <selection pane="bottomLeft" activeCell="A561" sqref="A561:XFD565"/>
    </sheetView>
  </sheetViews>
  <sheetFormatPr defaultRowHeight="12.75" x14ac:dyDescent="0.2"/>
  <cols>
    <col min="1" max="1" width="11" style="11" bestFit="1" customWidth="1"/>
    <col min="2" max="2" width="11.42578125" style="11" bestFit="1" customWidth="1"/>
    <col min="3" max="3" width="19.7109375" style="11" bestFit="1" customWidth="1"/>
    <col min="4" max="4" width="18.5703125" style="11" bestFit="1" customWidth="1"/>
    <col min="5" max="5" width="42.140625" style="11" bestFit="1" customWidth="1"/>
    <col min="6" max="7" width="19.7109375" style="11" bestFit="1" customWidth="1"/>
    <col min="8" max="8" width="7.140625" style="11" bestFit="1" customWidth="1"/>
    <col min="9" max="256" width="48.7109375" style="11" customWidth="1"/>
    <col min="257" max="16384" width="9.140625" style="11"/>
  </cols>
  <sheetData>
    <row r="1" spans="1:9" x14ac:dyDescent="0.2">
      <c r="A1" s="18" t="s">
        <v>0</v>
      </c>
      <c r="B1" s="18" t="s">
        <v>1</v>
      </c>
      <c r="C1" s="18" t="s">
        <v>2</v>
      </c>
      <c r="D1" s="18" t="s">
        <v>268</v>
      </c>
      <c r="E1" s="18" t="s">
        <v>267</v>
      </c>
      <c r="F1" s="18" t="s">
        <v>266</v>
      </c>
      <c r="G1" s="18" t="s">
        <v>3</v>
      </c>
      <c r="H1" s="18" t="s">
        <v>4</v>
      </c>
    </row>
    <row r="2" spans="1:9" x14ac:dyDescent="0.2">
      <c r="A2" s="17" t="s">
        <v>264</v>
      </c>
      <c r="B2" s="17" t="s">
        <v>37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1">
        <v>2</v>
      </c>
    </row>
    <row r="3" spans="1:9" x14ac:dyDescent="0.2">
      <c r="A3" s="17" t="s">
        <v>264</v>
      </c>
      <c r="B3" s="17" t="s">
        <v>37</v>
      </c>
      <c r="C3" s="16">
        <v>42219.395428240743</v>
      </c>
      <c r="D3" s="17" t="s">
        <v>5</v>
      </c>
      <c r="E3" s="17" t="s">
        <v>213</v>
      </c>
      <c r="F3" s="16">
        <v>42219.396909722222</v>
      </c>
      <c r="G3" s="16"/>
      <c r="H3" s="16"/>
      <c r="I3" s="11">
        <v>3</v>
      </c>
    </row>
    <row r="4" spans="1:9" x14ac:dyDescent="0.2">
      <c r="A4" s="17" t="s">
        <v>264</v>
      </c>
      <c r="B4" s="17" t="s">
        <v>37</v>
      </c>
      <c r="C4" s="16">
        <v>42219.395428240743</v>
      </c>
      <c r="D4" s="17" t="s">
        <v>6</v>
      </c>
      <c r="E4" s="17" t="s">
        <v>265</v>
      </c>
      <c r="F4" s="16">
        <v>42219.396909722222</v>
      </c>
      <c r="G4" s="16"/>
      <c r="H4" s="16"/>
      <c r="I4" s="11">
        <v>4</v>
      </c>
    </row>
    <row r="5" spans="1:9" x14ac:dyDescent="0.2">
      <c r="A5" s="17" t="s">
        <v>263</v>
      </c>
      <c r="B5" s="17" t="s">
        <v>37</v>
      </c>
      <c r="C5" s="16">
        <v>42340.497453703705</v>
      </c>
      <c r="D5" s="17" t="s">
        <v>5</v>
      </c>
      <c r="E5" s="17" t="s">
        <v>40</v>
      </c>
      <c r="F5" s="16">
        <v>42340.508483796293</v>
      </c>
      <c r="G5" s="16"/>
      <c r="H5" s="16"/>
      <c r="I5" s="11">
        <v>5</v>
      </c>
    </row>
    <row r="6" spans="1:9" x14ac:dyDescent="0.2">
      <c r="A6" s="17" t="s">
        <v>263</v>
      </c>
      <c r="B6" s="17" t="s">
        <v>37</v>
      </c>
      <c r="C6" s="16">
        <v>42340.497453703705</v>
      </c>
      <c r="D6" s="17" t="s">
        <v>5</v>
      </c>
      <c r="E6" s="17" t="s">
        <v>36</v>
      </c>
      <c r="F6" s="16">
        <v>42340.508831018517</v>
      </c>
      <c r="G6" s="16"/>
      <c r="H6" s="16"/>
      <c r="I6" s="11">
        <v>6</v>
      </c>
    </row>
    <row r="7" spans="1:9" x14ac:dyDescent="0.2">
      <c r="A7" s="17" t="s">
        <v>263</v>
      </c>
      <c r="B7" s="17" t="s">
        <v>37</v>
      </c>
      <c r="C7" s="16">
        <v>42340.497453703705</v>
      </c>
      <c r="D7" s="17" t="s">
        <v>5</v>
      </c>
      <c r="E7" s="17" t="s">
        <v>51</v>
      </c>
      <c r="F7" s="16">
        <v>42340.524641203701</v>
      </c>
      <c r="G7" s="16"/>
      <c r="H7" s="16"/>
      <c r="I7" s="11">
        <v>7</v>
      </c>
    </row>
    <row r="8" spans="1:9" x14ac:dyDescent="0.2">
      <c r="A8" s="17" t="s">
        <v>262</v>
      </c>
      <c r="B8" s="17" t="s">
        <v>37</v>
      </c>
      <c r="C8" s="16">
        <v>42352.477118055554</v>
      </c>
      <c r="D8" s="17" t="s">
        <v>5</v>
      </c>
      <c r="E8" s="17" t="s">
        <v>40</v>
      </c>
      <c r="F8" s="16">
        <v>42352.477175925924</v>
      </c>
      <c r="G8" s="16"/>
      <c r="H8" s="16"/>
      <c r="I8" s="11">
        <v>8</v>
      </c>
    </row>
    <row r="9" spans="1:9" x14ac:dyDescent="0.2">
      <c r="A9" s="17" t="s">
        <v>262</v>
      </c>
      <c r="B9" s="17" t="s">
        <v>37</v>
      </c>
      <c r="C9" s="16">
        <v>42352.477118055554</v>
      </c>
      <c r="D9" s="17" t="s">
        <v>5</v>
      </c>
      <c r="E9" s="17" t="s">
        <v>46</v>
      </c>
      <c r="F9" s="16">
        <v>42352.482245370367</v>
      </c>
      <c r="G9" s="16"/>
      <c r="H9" s="16"/>
      <c r="I9" s="11">
        <v>9</v>
      </c>
    </row>
    <row r="10" spans="1:9" x14ac:dyDescent="0.2">
      <c r="A10" s="17" t="s">
        <v>262</v>
      </c>
      <c r="B10" s="17" t="s">
        <v>37</v>
      </c>
      <c r="C10" s="16">
        <v>42352.477118055554</v>
      </c>
      <c r="D10" s="17" t="s">
        <v>5</v>
      </c>
      <c r="E10" s="17" t="s">
        <v>36</v>
      </c>
      <c r="F10" s="16">
        <v>42352.493090277778</v>
      </c>
      <c r="G10" s="16"/>
      <c r="H10" s="16"/>
      <c r="I10" s="11">
        <v>10</v>
      </c>
    </row>
    <row r="11" spans="1:9" x14ac:dyDescent="0.2">
      <c r="A11" s="17" t="s">
        <v>262</v>
      </c>
      <c r="B11" s="17" t="s">
        <v>37</v>
      </c>
      <c r="C11" s="16">
        <v>42352.477118055554</v>
      </c>
      <c r="D11" s="17" t="s">
        <v>6</v>
      </c>
      <c r="E11" s="17" t="s">
        <v>64</v>
      </c>
      <c r="F11" s="16">
        <v>42352.507372685184</v>
      </c>
      <c r="G11" s="16"/>
      <c r="H11" s="16"/>
      <c r="I11" s="11">
        <v>11</v>
      </c>
    </row>
    <row r="12" spans="1:9" x14ac:dyDescent="0.2">
      <c r="A12" s="17" t="s">
        <v>262</v>
      </c>
      <c r="B12" s="17" t="s">
        <v>37</v>
      </c>
      <c r="C12" s="16">
        <v>42352.477118055554</v>
      </c>
      <c r="D12" s="17" t="s">
        <v>5</v>
      </c>
      <c r="E12" s="17" t="s">
        <v>51</v>
      </c>
      <c r="F12" s="16">
        <v>42352.50984953704</v>
      </c>
      <c r="G12" s="16"/>
      <c r="H12" s="16"/>
      <c r="I12" s="11">
        <v>12</v>
      </c>
    </row>
    <row r="13" spans="1:9" x14ac:dyDescent="0.2">
      <c r="A13" s="17" t="s">
        <v>261</v>
      </c>
      <c r="B13" s="17" t="s">
        <v>65</v>
      </c>
      <c r="C13" s="16">
        <v>42377.266238425924</v>
      </c>
      <c r="D13" s="17" t="s">
        <v>5</v>
      </c>
      <c r="E13" s="17" t="s">
        <v>40</v>
      </c>
      <c r="F13" s="16">
        <v>42377.266261574077</v>
      </c>
      <c r="G13" s="16"/>
      <c r="H13" s="16"/>
      <c r="I13" s="11">
        <v>13</v>
      </c>
    </row>
    <row r="14" spans="1:9" x14ac:dyDescent="0.2">
      <c r="A14" s="17" t="s">
        <v>261</v>
      </c>
      <c r="B14" s="17" t="s">
        <v>65</v>
      </c>
      <c r="C14" s="16">
        <v>42377.266238425924</v>
      </c>
      <c r="D14" s="17" t="s">
        <v>5</v>
      </c>
      <c r="E14" s="17" t="s">
        <v>46</v>
      </c>
      <c r="F14" s="16">
        <v>42377.269282407404</v>
      </c>
      <c r="G14" s="16"/>
      <c r="H14" s="16"/>
      <c r="I14" s="11">
        <v>14</v>
      </c>
    </row>
    <row r="15" spans="1:9" x14ac:dyDescent="0.2">
      <c r="A15" s="17" t="s">
        <v>261</v>
      </c>
      <c r="B15" s="17" t="s">
        <v>65</v>
      </c>
      <c r="C15" s="16">
        <v>42377.266238425924</v>
      </c>
      <c r="D15" s="17" t="s">
        <v>5</v>
      </c>
      <c r="E15" s="17" t="s">
        <v>51</v>
      </c>
      <c r="F15" s="16">
        <v>42377.366122685184</v>
      </c>
      <c r="G15" s="16"/>
      <c r="H15" s="16"/>
      <c r="I15" s="11">
        <v>15</v>
      </c>
    </row>
    <row r="16" spans="1:9" x14ac:dyDescent="0.2">
      <c r="A16" s="17" t="s">
        <v>260</v>
      </c>
      <c r="B16" s="17" t="s">
        <v>37</v>
      </c>
      <c r="C16" s="16">
        <v>42396.450509259259</v>
      </c>
      <c r="D16" s="17" t="s">
        <v>5</v>
      </c>
      <c r="E16" s="17" t="s">
        <v>40</v>
      </c>
      <c r="F16" s="16">
        <v>42396.450543981482</v>
      </c>
      <c r="G16" s="16"/>
      <c r="H16" s="16"/>
      <c r="I16" s="11">
        <v>16</v>
      </c>
    </row>
    <row r="17" spans="1:9" x14ac:dyDescent="0.2">
      <c r="A17" s="17" t="s">
        <v>260</v>
      </c>
      <c r="B17" s="17" t="s">
        <v>37</v>
      </c>
      <c r="C17" s="16">
        <v>42396.450509259259</v>
      </c>
      <c r="D17" s="17" t="s">
        <v>5</v>
      </c>
      <c r="E17" s="17" t="s">
        <v>36</v>
      </c>
      <c r="F17" s="16">
        <v>42396.450960648152</v>
      </c>
      <c r="G17" s="16"/>
      <c r="H17" s="16"/>
      <c r="I17" s="11">
        <v>17</v>
      </c>
    </row>
    <row r="18" spans="1:9" x14ac:dyDescent="0.2">
      <c r="A18" s="17" t="s">
        <v>260</v>
      </c>
      <c r="B18" s="17" t="s">
        <v>37</v>
      </c>
      <c r="C18" s="16">
        <v>42396.450509259259</v>
      </c>
      <c r="D18" s="17" t="s">
        <v>5</v>
      </c>
      <c r="E18" s="17" t="s">
        <v>46</v>
      </c>
      <c r="F18" s="16">
        <v>42396.459768518522</v>
      </c>
      <c r="G18" s="16"/>
      <c r="H18" s="16"/>
      <c r="I18" s="11">
        <v>18</v>
      </c>
    </row>
    <row r="19" spans="1:9" x14ac:dyDescent="0.2">
      <c r="A19" s="17" t="s">
        <v>260</v>
      </c>
      <c r="B19" s="17" t="s">
        <v>37</v>
      </c>
      <c r="C19" s="16">
        <v>42396.450509259259</v>
      </c>
      <c r="D19" s="17" t="s">
        <v>5</v>
      </c>
      <c r="E19" s="17" t="s">
        <v>51</v>
      </c>
      <c r="F19" s="16">
        <v>42396.461851851855</v>
      </c>
      <c r="G19" s="16"/>
      <c r="H19" s="16"/>
      <c r="I19" s="11">
        <v>19</v>
      </c>
    </row>
    <row r="20" spans="1:9" x14ac:dyDescent="0.2">
      <c r="A20" s="17" t="s">
        <v>258</v>
      </c>
      <c r="B20" s="17" t="s">
        <v>37</v>
      </c>
      <c r="C20" s="16">
        <v>42406.554097222222</v>
      </c>
      <c r="D20" s="17" t="s">
        <v>5</v>
      </c>
      <c r="E20" s="17" t="s">
        <v>40</v>
      </c>
      <c r="F20" s="16">
        <v>42406.554143518515</v>
      </c>
      <c r="G20" s="16">
        <v>42406.556539351855</v>
      </c>
      <c r="H20" s="16"/>
      <c r="I20" s="11">
        <v>20</v>
      </c>
    </row>
    <row r="21" spans="1:9" x14ac:dyDescent="0.2">
      <c r="A21" s="17" t="s">
        <v>258</v>
      </c>
      <c r="B21" s="17" t="s">
        <v>37</v>
      </c>
      <c r="C21" s="16">
        <v>42406.554097222222</v>
      </c>
      <c r="D21" s="17" t="s">
        <v>5</v>
      </c>
      <c r="E21" s="17" t="s">
        <v>90</v>
      </c>
      <c r="F21" s="16">
        <v>42406.556585648148</v>
      </c>
      <c r="G21" s="16">
        <v>42406.556539351855</v>
      </c>
      <c r="H21" s="16"/>
      <c r="I21" s="11">
        <v>21</v>
      </c>
    </row>
    <row r="22" spans="1:9" x14ac:dyDescent="0.2">
      <c r="A22" s="17" t="s">
        <v>258</v>
      </c>
      <c r="B22" s="17" t="s">
        <v>37</v>
      </c>
      <c r="C22" s="16">
        <v>42406.554097222222</v>
      </c>
      <c r="D22" s="17" t="s">
        <v>6</v>
      </c>
      <c r="E22" s="17" t="s">
        <v>259</v>
      </c>
      <c r="F22" s="16">
        <v>42406.556585648148</v>
      </c>
      <c r="G22" s="16">
        <v>42406.556539351855</v>
      </c>
      <c r="H22" s="16"/>
      <c r="I22" s="11">
        <v>22</v>
      </c>
    </row>
    <row r="23" spans="1:9" x14ac:dyDescent="0.2">
      <c r="A23" s="17" t="s">
        <v>258</v>
      </c>
      <c r="B23" s="17" t="s">
        <v>37</v>
      </c>
      <c r="C23" s="16">
        <v>42406.554097222222</v>
      </c>
      <c r="D23" s="17" t="s">
        <v>5</v>
      </c>
      <c r="E23" s="17" t="s">
        <v>46</v>
      </c>
      <c r="F23" s="16">
        <v>42406.587685185186</v>
      </c>
      <c r="G23" s="16">
        <v>42406.556539351855</v>
      </c>
      <c r="H23" s="16"/>
      <c r="I23" s="11">
        <v>23</v>
      </c>
    </row>
    <row r="24" spans="1:9" x14ac:dyDescent="0.2">
      <c r="A24" s="17" t="s">
        <v>258</v>
      </c>
      <c r="B24" s="17" t="s">
        <v>37</v>
      </c>
      <c r="C24" s="16">
        <v>42406.554097222222</v>
      </c>
      <c r="D24" s="17" t="s">
        <v>5</v>
      </c>
      <c r="E24" s="17" t="s">
        <v>51</v>
      </c>
      <c r="F24" s="16">
        <v>42408.403912037036</v>
      </c>
      <c r="G24" s="16">
        <v>42406.556539351855</v>
      </c>
      <c r="H24" s="16"/>
      <c r="I24" s="11">
        <v>24</v>
      </c>
    </row>
    <row r="25" spans="1:9" x14ac:dyDescent="0.2">
      <c r="A25" s="17" t="s">
        <v>257</v>
      </c>
      <c r="B25" s="17" t="s">
        <v>37</v>
      </c>
      <c r="C25" s="16">
        <v>42431.108217592591</v>
      </c>
      <c r="D25" s="17" t="s">
        <v>5</v>
      </c>
      <c r="E25" s="17" t="s">
        <v>40</v>
      </c>
      <c r="F25" s="16">
        <v>42431.108229166668</v>
      </c>
      <c r="G25" s="16"/>
      <c r="H25" s="16"/>
      <c r="I25" s="11">
        <v>25</v>
      </c>
    </row>
    <row r="26" spans="1:9" x14ac:dyDescent="0.2">
      <c r="A26" s="17" t="s">
        <v>257</v>
      </c>
      <c r="B26" s="17" t="s">
        <v>37</v>
      </c>
      <c r="C26" s="16">
        <v>42431.108217592591</v>
      </c>
      <c r="D26" s="17" t="s">
        <v>5</v>
      </c>
      <c r="E26" s="17" t="s">
        <v>36</v>
      </c>
      <c r="F26" s="16">
        <v>42431.114363425928</v>
      </c>
      <c r="G26" s="16"/>
      <c r="H26" s="16"/>
      <c r="I26" s="11">
        <v>26</v>
      </c>
    </row>
    <row r="27" spans="1:9" x14ac:dyDescent="0.2">
      <c r="A27" s="17" t="s">
        <v>257</v>
      </c>
      <c r="B27" s="17" t="s">
        <v>37</v>
      </c>
      <c r="C27" s="16">
        <v>42431.108217592591</v>
      </c>
      <c r="D27" s="17" t="s">
        <v>5</v>
      </c>
      <c r="E27" s="17" t="s">
        <v>46</v>
      </c>
      <c r="F27" s="16">
        <v>42431.445856481485</v>
      </c>
      <c r="G27" s="16"/>
      <c r="H27" s="16"/>
      <c r="I27" s="11">
        <v>27</v>
      </c>
    </row>
    <row r="28" spans="1:9" x14ac:dyDescent="0.2">
      <c r="A28" s="17" t="s">
        <v>257</v>
      </c>
      <c r="B28" s="17" t="s">
        <v>37</v>
      </c>
      <c r="C28" s="16">
        <v>42431.108217592591</v>
      </c>
      <c r="D28" s="17" t="s">
        <v>5</v>
      </c>
      <c r="E28" s="17" t="s">
        <v>51</v>
      </c>
      <c r="F28" s="16">
        <v>42431.494143518517</v>
      </c>
      <c r="G28" s="16"/>
      <c r="H28" s="16"/>
      <c r="I28" s="11">
        <v>28</v>
      </c>
    </row>
    <row r="29" spans="1:9" x14ac:dyDescent="0.2">
      <c r="A29" s="17" t="s">
        <v>256</v>
      </c>
      <c r="B29" s="17" t="s">
        <v>37</v>
      </c>
      <c r="C29" s="16">
        <v>42445.057893518519</v>
      </c>
      <c r="D29" s="17" t="s">
        <v>5</v>
      </c>
      <c r="E29" s="17" t="s">
        <v>40</v>
      </c>
      <c r="F29" s="16">
        <v>42445.057928240742</v>
      </c>
      <c r="G29" s="16"/>
      <c r="H29" s="16"/>
      <c r="I29" s="11">
        <v>29</v>
      </c>
    </row>
    <row r="30" spans="1:9" x14ac:dyDescent="0.2">
      <c r="A30" s="17" t="s">
        <v>256</v>
      </c>
      <c r="B30" s="17" t="s">
        <v>37</v>
      </c>
      <c r="C30" s="16">
        <v>42445.057893518519</v>
      </c>
      <c r="D30" s="17" t="s">
        <v>5</v>
      </c>
      <c r="E30" s="17" t="s">
        <v>46</v>
      </c>
      <c r="F30" s="16">
        <v>42445.097025462965</v>
      </c>
      <c r="G30" s="16"/>
      <c r="H30" s="16"/>
      <c r="I30" s="11">
        <v>30</v>
      </c>
    </row>
    <row r="31" spans="1:9" x14ac:dyDescent="0.2">
      <c r="A31" s="17" t="s">
        <v>256</v>
      </c>
      <c r="B31" s="17" t="s">
        <v>37</v>
      </c>
      <c r="C31" s="16">
        <v>42445.057893518519</v>
      </c>
      <c r="D31" s="17" t="s">
        <v>5</v>
      </c>
      <c r="E31" s="17" t="s">
        <v>51</v>
      </c>
      <c r="F31" s="16">
        <v>42445.373263888891</v>
      </c>
      <c r="G31" s="16"/>
      <c r="H31" s="16"/>
      <c r="I31" s="11">
        <v>31</v>
      </c>
    </row>
    <row r="32" spans="1:9" x14ac:dyDescent="0.2">
      <c r="A32" s="17" t="s">
        <v>255</v>
      </c>
      <c r="B32" s="17" t="s">
        <v>37</v>
      </c>
      <c r="C32" s="16">
        <v>42457.586909722224</v>
      </c>
      <c r="D32" s="17" t="s">
        <v>5</v>
      </c>
      <c r="E32" s="17" t="s">
        <v>40</v>
      </c>
      <c r="F32" s="16">
        <v>42457.587025462963</v>
      </c>
      <c r="G32" s="16"/>
      <c r="H32" s="16"/>
      <c r="I32" s="11">
        <v>32</v>
      </c>
    </row>
    <row r="33" spans="1:9" x14ac:dyDescent="0.2">
      <c r="A33" s="17" t="s">
        <v>255</v>
      </c>
      <c r="B33" s="17" t="s">
        <v>37</v>
      </c>
      <c r="C33" s="16">
        <v>42457.586909722224</v>
      </c>
      <c r="D33" s="17" t="s">
        <v>5</v>
      </c>
      <c r="E33" s="17" t="s">
        <v>36</v>
      </c>
      <c r="F33" s="16">
        <v>42457.587581018517</v>
      </c>
      <c r="G33" s="16"/>
      <c r="H33" s="16"/>
      <c r="I33" s="11">
        <v>33</v>
      </c>
    </row>
    <row r="34" spans="1:9" x14ac:dyDescent="0.2">
      <c r="A34" s="17" t="s">
        <v>255</v>
      </c>
      <c r="B34" s="17" t="s">
        <v>37</v>
      </c>
      <c r="C34" s="16">
        <v>42457.586909722224</v>
      </c>
      <c r="D34" s="17" t="s">
        <v>5</v>
      </c>
      <c r="E34" s="17" t="s">
        <v>51</v>
      </c>
      <c r="F34" s="16">
        <v>42457.622604166667</v>
      </c>
      <c r="G34" s="16"/>
      <c r="H34" s="16"/>
      <c r="I34" s="11">
        <v>34</v>
      </c>
    </row>
    <row r="35" spans="1:9" x14ac:dyDescent="0.2">
      <c r="A35" s="17" t="s">
        <v>254</v>
      </c>
      <c r="B35" s="17" t="s">
        <v>37</v>
      </c>
      <c r="C35" s="16">
        <v>42457.621331018519</v>
      </c>
      <c r="D35" s="17" t="s">
        <v>5</v>
      </c>
      <c r="E35" s="17" t="s">
        <v>40</v>
      </c>
      <c r="F35" s="16">
        <v>42457.621435185189</v>
      </c>
      <c r="G35" s="16"/>
      <c r="H35" s="16"/>
      <c r="I35" s="11">
        <v>35</v>
      </c>
    </row>
    <row r="36" spans="1:9" x14ac:dyDescent="0.2">
      <c r="A36" s="17" t="s">
        <v>254</v>
      </c>
      <c r="B36" s="17" t="s">
        <v>37</v>
      </c>
      <c r="C36" s="16">
        <v>42457.621331018519</v>
      </c>
      <c r="D36" s="17" t="s">
        <v>5</v>
      </c>
      <c r="E36" s="17" t="s">
        <v>51</v>
      </c>
      <c r="F36" s="16">
        <v>42457.622094907405</v>
      </c>
      <c r="G36" s="16"/>
      <c r="H36" s="16"/>
      <c r="I36" s="11">
        <v>36</v>
      </c>
    </row>
    <row r="37" spans="1:9" x14ac:dyDescent="0.2">
      <c r="A37" s="17" t="s">
        <v>253</v>
      </c>
      <c r="B37" s="17" t="s">
        <v>37</v>
      </c>
      <c r="C37" s="16">
        <v>42457.623055555552</v>
      </c>
      <c r="D37" s="17" t="s">
        <v>5</v>
      </c>
      <c r="E37" s="17" t="s">
        <v>40</v>
      </c>
      <c r="F37" s="16">
        <v>42457.623136574075</v>
      </c>
      <c r="G37" s="16"/>
      <c r="H37" s="16"/>
      <c r="I37" s="11">
        <v>37</v>
      </c>
    </row>
    <row r="38" spans="1:9" x14ac:dyDescent="0.2">
      <c r="A38" s="17" t="s">
        <v>253</v>
      </c>
      <c r="B38" s="17" t="s">
        <v>37</v>
      </c>
      <c r="C38" s="16">
        <v>42457.623055555552</v>
      </c>
      <c r="D38" s="17" t="s">
        <v>5</v>
      </c>
      <c r="E38" s="17" t="s">
        <v>51</v>
      </c>
      <c r="F38" s="16">
        <v>42457.623483796298</v>
      </c>
      <c r="G38" s="16"/>
      <c r="H38" s="16"/>
      <c r="I38" s="11">
        <v>38</v>
      </c>
    </row>
    <row r="39" spans="1:9" x14ac:dyDescent="0.2">
      <c r="A39" s="17" t="s">
        <v>252</v>
      </c>
      <c r="B39" s="17" t="s">
        <v>37</v>
      </c>
      <c r="C39" s="16">
        <v>42460.482511574075</v>
      </c>
      <c r="D39" s="17" t="s">
        <v>5</v>
      </c>
      <c r="E39" s="17" t="s">
        <v>40</v>
      </c>
      <c r="F39" s="16">
        <v>42460.482523148145</v>
      </c>
      <c r="G39" s="16"/>
      <c r="H39" s="16"/>
      <c r="I39" s="11">
        <v>39</v>
      </c>
    </row>
    <row r="40" spans="1:9" x14ac:dyDescent="0.2">
      <c r="A40" s="17" t="s">
        <v>252</v>
      </c>
      <c r="B40" s="17" t="s">
        <v>37</v>
      </c>
      <c r="C40" s="16">
        <v>42460.482511574075</v>
      </c>
      <c r="D40" s="17" t="s">
        <v>5</v>
      </c>
      <c r="E40" s="17" t="s">
        <v>51</v>
      </c>
      <c r="F40" s="16">
        <v>42460.490219907406</v>
      </c>
      <c r="G40" s="16"/>
      <c r="H40" s="16"/>
      <c r="I40" s="11">
        <v>40</v>
      </c>
    </row>
    <row r="41" spans="1:9" x14ac:dyDescent="0.2">
      <c r="A41" s="17" t="s">
        <v>251</v>
      </c>
      <c r="B41" s="17" t="s">
        <v>37</v>
      </c>
      <c r="C41" s="16">
        <v>42460.680868055555</v>
      </c>
      <c r="D41" s="17" t="s">
        <v>5</v>
      </c>
      <c r="E41" s="17" t="s">
        <v>40</v>
      </c>
      <c r="F41" s="16">
        <v>42460.680879629632</v>
      </c>
      <c r="G41" s="16"/>
      <c r="H41" s="16"/>
      <c r="I41" s="11">
        <v>41</v>
      </c>
    </row>
    <row r="42" spans="1:9" x14ac:dyDescent="0.2">
      <c r="A42" s="17" t="s">
        <v>251</v>
      </c>
      <c r="B42" s="17" t="s">
        <v>37</v>
      </c>
      <c r="C42" s="16">
        <v>42460.680868055555</v>
      </c>
      <c r="D42" s="17" t="s">
        <v>5</v>
      </c>
      <c r="E42" s="17" t="s">
        <v>51</v>
      </c>
      <c r="F42" s="16">
        <v>42460.692789351851</v>
      </c>
      <c r="G42" s="16"/>
      <c r="H42" s="16"/>
      <c r="I42" s="11">
        <v>42</v>
      </c>
    </row>
    <row r="43" spans="1:9" x14ac:dyDescent="0.2">
      <c r="A43" s="17" t="s">
        <v>250</v>
      </c>
      <c r="B43" s="17" t="s">
        <v>37</v>
      </c>
      <c r="C43" s="16">
        <v>42468.410231481481</v>
      </c>
      <c r="D43" s="17" t="s">
        <v>5</v>
      </c>
      <c r="E43" s="17" t="s">
        <v>40</v>
      </c>
      <c r="F43" s="16">
        <v>42468.410358796296</v>
      </c>
      <c r="G43" s="16"/>
      <c r="H43" s="16"/>
      <c r="I43" s="11">
        <v>43</v>
      </c>
    </row>
    <row r="44" spans="1:9" x14ac:dyDescent="0.2">
      <c r="A44" s="17" t="s">
        <v>250</v>
      </c>
      <c r="B44" s="17" t="s">
        <v>37</v>
      </c>
      <c r="C44" s="16">
        <v>42468.410231481481</v>
      </c>
      <c r="D44" s="17" t="s">
        <v>5</v>
      </c>
      <c r="E44" s="17" t="s">
        <v>46</v>
      </c>
      <c r="F44" s="16">
        <v>42468.411909722221</v>
      </c>
      <c r="G44" s="16"/>
      <c r="H44" s="16"/>
      <c r="I44" s="11">
        <v>44</v>
      </c>
    </row>
    <row r="45" spans="1:9" x14ac:dyDescent="0.2">
      <c r="A45" s="17" t="s">
        <v>250</v>
      </c>
      <c r="B45" s="17" t="s">
        <v>37</v>
      </c>
      <c r="C45" s="16">
        <v>42468.410231481481</v>
      </c>
      <c r="D45" s="17" t="s">
        <v>5</v>
      </c>
      <c r="E45" s="17" t="s">
        <v>51</v>
      </c>
      <c r="F45" s="16">
        <v>42468.412951388891</v>
      </c>
      <c r="G45" s="16"/>
      <c r="H45" s="16"/>
      <c r="I45" s="11">
        <v>45</v>
      </c>
    </row>
    <row r="46" spans="1:9" x14ac:dyDescent="0.2">
      <c r="A46" s="17" t="s">
        <v>249</v>
      </c>
      <c r="B46" s="17" t="s">
        <v>37</v>
      </c>
      <c r="C46" s="16">
        <v>42473.513958333337</v>
      </c>
      <c r="D46" s="17" t="s">
        <v>5</v>
      </c>
      <c r="E46" s="17" t="s">
        <v>40</v>
      </c>
      <c r="F46" s="16">
        <v>42473.513981481483</v>
      </c>
      <c r="G46" s="16"/>
      <c r="H46" s="16"/>
      <c r="I46" s="11">
        <v>46</v>
      </c>
    </row>
    <row r="47" spans="1:9" x14ac:dyDescent="0.2">
      <c r="A47" s="17" t="s">
        <v>249</v>
      </c>
      <c r="B47" s="17" t="s">
        <v>37</v>
      </c>
      <c r="C47" s="16">
        <v>42473.513958333337</v>
      </c>
      <c r="D47" s="17" t="s">
        <v>5</v>
      </c>
      <c r="E47" s="17" t="s">
        <v>36</v>
      </c>
      <c r="F47" s="16">
        <v>42473.514548611114</v>
      </c>
      <c r="G47" s="16"/>
      <c r="H47" s="16"/>
      <c r="I47" s="11">
        <v>47</v>
      </c>
    </row>
    <row r="48" spans="1:9" x14ac:dyDescent="0.2">
      <c r="A48" s="17" t="s">
        <v>249</v>
      </c>
      <c r="B48" s="17" t="s">
        <v>37</v>
      </c>
      <c r="C48" s="16">
        <v>42473.513958333337</v>
      </c>
      <c r="D48" s="17" t="s">
        <v>5</v>
      </c>
      <c r="E48" s="17" t="s">
        <v>51</v>
      </c>
      <c r="F48" s="16">
        <v>42473.650509259256</v>
      </c>
      <c r="G48" s="16"/>
      <c r="H48" s="16"/>
      <c r="I48" s="11">
        <v>48</v>
      </c>
    </row>
    <row r="49" spans="1:9" x14ac:dyDescent="0.2">
      <c r="A49" s="17" t="s">
        <v>248</v>
      </c>
      <c r="B49" s="17" t="s">
        <v>37</v>
      </c>
      <c r="C49" s="16">
        <v>42474.463877314818</v>
      </c>
      <c r="D49" s="17" t="s">
        <v>5</v>
      </c>
      <c r="E49" s="17" t="s">
        <v>40</v>
      </c>
      <c r="F49" s="16">
        <v>42474.463888888888</v>
      </c>
      <c r="G49" s="16"/>
      <c r="H49" s="16"/>
      <c r="I49" s="11">
        <v>49</v>
      </c>
    </row>
    <row r="50" spans="1:9" x14ac:dyDescent="0.2">
      <c r="A50" s="17" t="s">
        <v>248</v>
      </c>
      <c r="B50" s="17" t="s">
        <v>37</v>
      </c>
      <c r="C50" s="16">
        <v>42474.463877314818</v>
      </c>
      <c r="D50" s="17" t="s">
        <v>5</v>
      </c>
      <c r="E50" s="17" t="s">
        <v>36</v>
      </c>
      <c r="F50" s="16">
        <v>42474.464363425926</v>
      </c>
      <c r="G50" s="16"/>
      <c r="H50" s="16"/>
      <c r="I50" s="11">
        <v>50</v>
      </c>
    </row>
    <row r="51" spans="1:9" x14ac:dyDescent="0.2">
      <c r="A51" s="17" t="s">
        <v>248</v>
      </c>
      <c r="B51" s="17" t="s">
        <v>37</v>
      </c>
      <c r="C51" s="16">
        <v>42474.463877314818</v>
      </c>
      <c r="D51" s="17" t="s">
        <v>5</v>
      </c>
      <c r="E51" s="17" t="s">
        <v>51</v>
      </c>
      <c r="F51" s="16">
        <v>42474.4924537037</v>
      </c>
      <c r="G51" s="16"/>
      <c r="H51" s="16"/>
      <c r="I51" s="11">
        <v>51</v>
      </c>
    </row>
    <row r="52" spans="1:9" x14ac:dyDescent="0.2">
      <c r="A52" s="17" t="s">
        <v>247</v>
      </c>
      <c r="B52" s="17" t="s">
        <v>37</v>
      </c>
      <c r="C52" s="16">
        <v>42474.507141203707</v>
      </c>
      <c r="D52" s="17" t="s">
        <v>5</v>
      </c>
      <c r="E52" s="17" t="s">
        <v>40</v>
      </c>
      <c r="F52" s="16">
        <v>42474.507175925923</v>
      </c>
      <c r="G52" s="16"/>
      <c r="H52" s="16"/>
      <c r="I52" s="11">
        <v>52</v>
      </c>
    </row>
    <row r="53" spans="1:9" x14ac:dyDescent="0.2">
      <c r="A53" s="17" t="s">
        <v>247</v>
      </c>
      <c r="B53" s="17" t="s">
        <v>37</v>
      </c>
      <c r="C53" s="16">
        <v>42474.507141203707</v>
      </c>
      <c r="D53" s="17" t="s">
        <v>5</v>
      </c>
      <c r="E53" s="17" t="s">
        <v>51</v>
      </c>
      <c r="F53" s="16">
        <v>42474.511562500003</v>
      </c>
      <c r="G53" s="16"/>
      <c r="H53" s="16"/>
      <c r="I53" s="11">
        <v>53</v>
      </c>
    </row>
    <row r="54" spans="1:9" x14ac:dyDescent="0.2">
      <c r="A54" s="17" t="s">
        <v>246</v>
      </c>
      <c r="B54" s="17" t="s">
        <v>37</v>
      </c>
      <c r="C54" s="16">
        <v>42474.596712962964</v>
      </c>
      <c r="D54" s="17" t="s">
        <v>5</v>
      </c>
      <c r="E54" s="17" t="s">
        <v>40</v>
      </c>
      <c r="F54" s="16">
        <v>42474.596747685187</v>
      </c>
      <c r="G54" s="16"/>
      <c r="H54" s="16"/>
      <c r="I54" s="11">
        <v>54</v>
      </c>
    </row>
    <row r="55" spans="1:9" x14ac:dyDescent="0.2">
      <c r="A55" s="17" t="s">
        <v>246</v>
      </c>
      <c r="B55" s="17" t="s">
        <v>37</v>
      </c>
      <c r="C55" s="16">
        <v>42474.596712962964</v>
      </c>
      <c r="D55" s="17" t="s">
        <v>5</v>
      </c>
      <c r="E55" s="17" t="s">
        <v>36</v>
      </c>
      <c r="F55" s="16">
        <v>42474.598425925928</v>
      </c>
      <c r="G55" s="16"/>
      <c r="H55" s="16"/>
      <c r="I55" s="11">
        <v>55</v>
      </c>
    </row>
    <row r="56" spans="1:9" x14ac:dyDescent="0.2">
      <c r="A56" s="17" t="s">
        <v>246</v>
      </c>
      <c r="B56" s="17" t="s">
        <v>37</v>
      </c>
      <c r="C56" s="16">
        <v>42474.596712962964</v>
      </c>
      <c r="D56" s="17" t="s">
        <v>5</v>
      </c>
      <c r="E56" s="17" t="s">
        <v>51</v>
      </c>
      <c r="F56" s="16">
        <v>42474.602407407408</v>
      </c>
      <c r="G56" s="16"/>
      <c r="H56" s="16"/>
      <c r="I56" s="11">
        <v>56</v>
      </c>
    </row>
    <row r="57" spans="1:9" x14ac:dyDescent="0.2">
      <c r="A57" s="17" t="s">
        <v>245</v>
      </c>
      <c r="B57" s="17" t="s">
        <v>37</v>
      </c>
      <c r="C57" s="16">
        <v>42474.596724537034</v>
      </c>
      <c r="D57" s="17" t="s">
        <v>5</v>
      </c>
      <c r="E57" s="17" t="s">
        <v>40</v>
      </c>
      <c r="F57" s="16">
        <v>42474.596736111111</v>
      </c>
      <c r="G57" s="16"/>
      <c r="H57" s="16"/>
      <c r="I57" s="11">
        <v>57</v>
      </c>
    </row>
    <row r="58" spans="1:9" x14ac:dyDescent="0.2">
      <c r="A58" s="17" t="s">
        <v>245</v>
      </c>
      <c r="B58" s="17" t="s">
        <v>37</v>
      </c>
      <c r="C58" s="16">
        <v>42474.596724537034</v>
      </c>
      <c r="D58" s="17" t="s">
        <v>5</v>
      </c>
      <c r="E58" s="17" t="s">
        <v>36</v>
      </c>
      <c r="F58" s="16">
        <v>42474.598101851851</v>
      </c>
      <c r="G58" s="16"/>
      <c r="H58" s="16"/>
      <c r="I58" s="11">
        <v>58</v>
      </c>
    </row>
    <row r="59" spans="1:9" x14ac:dyDescent="0.2">
      <c r="A59" s="17" t="s">
        <v>245</v>
      </c>
      <c r="B59" s="17" t="s">
        <v>37</v>
      </c>
      <c r="C59" s="16">
        <v>42474.596724537034</v>
      </c>
      <c r="D59" s="17" t="s">
        <v>5</v>
      </c>
      <c r="E59" s="17" t="s">
        <v>51</v>
      </c>
      <c r="F59" s="16">
        <v>42474.602743055555</v>
      </c>
      <c r="G59" s="16"/>
      <c r="H59" s="16"/>
      <c r="I59" s="11">
        <v>59</v>
      </c>
    </row>
    <row r="60" spans="1:9" x14ac:dyDescent="0.2">
      <c r="A60" s="17" t="s">
        <v>244</v>
      </c>
      <c r="B60" s="17" t="s">
        <v>37</v>
      </c>
      <c r="C60" s="16">
        <v>42479.40247685185</v>
      </c>
      <c r="D60" s="17" t="s">
        <v>5</v>
      </c>
      <c r="E60" s="17" t="s">
        <v>40</v>
      </c>
      <c r="F60" s="16">
        <v>42479.402499999997</v>
      </c>
      <c r="G60" s="16"/>
      <c r="H60" s="16"/>
      <c r="I60" s="11">
        <v>60</v>
      </c>
    </row>
    <row r="61" spans="1:9" x14ac:dyDescent="0.2">
      <c r="A61" s="17" t="s">
        <v>244</v>
      </c>
      <c r="B61" s="17" t="s">
        <v>37</v>
      </c>
      <c r="C61" s="16">
        <v>42479.40247685185</v>
      </c>
      <c r="D61" s="17" t="s">
        <v>5</v>
      </c>
      <c r="E61" s="17" t="s">
        <v>36</v>
      </c>
      <c r="F61" s="16">
        <v>42479.440740740742</v>
      </c>
      <c r="G61" s="16"/>
      <c r="H61" s="16"/>
      <c r="I61" s="11">
        <v>61</v>
      </c>
    </row>
    <row r="62" spans="1:9" x14ac:dyDescent="0.2">
      <c r="A62" s="17" t="s">
        <v>244</v>
      </c>
      <c r="B62" s="17" t="s">
        <v>37</v>
      </c>
      <c r="C62" s="16">
        <v>42479.40247685185</v>
      </c>
      <c r="D62" s="17" t="s">
        <v>5</v>
      </c>
      <c r="E62" s="17" t="s">
        <v>51</v>
      </c>
      <c r="F62" s="16">
        <v>42479.445173611108</v>
      </c>
      <c r="G62" s="16"/>
      <c r="H62" s="16"/>
      <c r="I62" s="11">
        <v>62</v>
      </c>
    </row>
    <row r="63" spans="1:9" x14ac:dyDescent="0.2">
      <c r="A63" s="17" t="s">
        <v>243</v>
      </c>
      <c r="B63" s="17" t="s">
        <v>37</v>
      </c>
      <c r="C63" s="16">
        <v>42479.483981481484</v>
      </c>
      <c r="D63" s="17" t="s">
        <v>5</v>
      </c>
      <c r="E63" s="17" t="s">
        <v>40</v>
      </c>
      <c r="F63" s="16">
        <v>42479.4840625</v>
      </c>
      <c r="G63" s="16"/>
      <c r="H63" s="16"/>
      <c r="I63" s="11">
        <v>63</v>
      </c>
    </row>
    <row r="64" spans="1:9" x14ac:dyDescent="0.2">
      <c r="A64" s="17" t="s">
        <v>243</v>
      </c>
      <c r="B64" s="17" t="s">
        <v>37</v>
      </c>
      <c r="C64" s="16">
        <v>42479.483981481484</v>
      </c>
      <c r="D64" s="17" t="s">
        <v>5</v>
      </c>
      <c r="E64" s="17" t="s">
        <v>36</v>
      </c>
      <c r="F64" s="16">
        <v>42479.51871527778</v>
      </c>
      <c r="G64" s="16"/>
      <c r="H64" s="16"/>
      <c r="I64" s="11">
        <v>64</v>
      </c>
    </row>
    <row r="65" spans="1:9" x14ac:dyDescent="0.2">
      <c r="A65" s="17" t="s">
        <v>243</v>
      </c>
      <c r="B65" s="17" t="s">
        <v>37</v>
      </c>
      <c r="C65" s="16">
        <v>42479.483981481484</v>
      </c>
      <c r="D65" s="17" t="s">
        <v>5</v>
      </c>
      <c r="E65" s="17" t="s">
        <v>51</v>
      </c>
      <c r="F65" s="16">
        <v>42479.52076388889</v>
      </c>
      <c r="G65" s="16"/>
      <c r="H65" s="16"/>
      <c r="I65" s="11">
        <v>65</v>
      </c>
    </row>
    <row r="66" spans="1:9" x14ac:dyDescent="0.2">
      <c r="A66" s="17" t="s">
        <v>242</v>
      </c>
      <c r="B66" s="17" t="s">
        <v>37</v>
      </c>
      <c r="C66" s="16">
        <v>42489.438391203701</v>
      </c>
      <c r="D66" s="17" t="s">
        <v>5</v>
      </c>
      <c r="E66" s="17" t="s">
        <v>40</v>
      </c>
      <c r="F66" s="16">
        <v>42489.438472222224</v>
      </c>
      <c r="G66" s="16"/>
      <c r="H66" s="16"/>
      <c r="I66" s="11">
        <v>66</v>
      </c>
    </row>
    <row r="67" spans="1:9" x14ac:dyDescent="0.2">
      <c r="A67" s="17" t="s">
        <v>242</v>
      </c>
      <c r="B67" s="17" t="s">
        <v>37</v>
      </c>
      <c r="C67" s="16">
        <v>42489.438391203701</v>
      </c>
      <c r="D67" s="17" t="s">
        <v>5</v>
      </c>
      <c r="E67" s="17" t="s">
        <v>46</v>
      </c>
      <c r="F67" s="16">
        <v>42489.43891203704</v>
      </c>
      <c r="G67" s="16"/>
      <c r="H67" s="16"/>
      <c r="I67" s="11">
        <v>67</v>
      </c>
    </row>
    <row r="68" spans="1:9" x14ac:dyDescent="0.2">
      <c r="A68" s="17" t="s">
        <v>242</v>
      </c>
      <c r="B68" s="17" t="s">
        <v>37</v>
      </c>
      <c r="C68" s="16">
        <v>42489.438391203701</v>
      </c>
      <c r="D68" s="17" t="s">
        <v>5</v>
      </c>
      <c r="E68" s="17" t="s">
        <v>51</v>
      </c>
      <c r="F68" s="16">
        <v>42489.442210648151</v>
      </c>
      <c r="G68" s="16"/>
      <c r="H68" s="16"/>
      <c r="I68" s="11">
        <v>68</v>
      </c>
    </row>
    <row r="69" spans="1:9" x14ac:dyDescent="0.2">
      <c r="A69" s="17" t="s">
        <v>241</v>
      </c>
      <c r="B69" s="17" t="s">
        <v>37</v>
      </c>
      <c r="C69" s="16">
        <v>42514.392870370371</v>
      </c>
      <c r="D69" s="17" t="s">
        <v>5</v>
      </c>
      <c r="E69" s="17" t="s">
        <v>40</v>
      </c>
      <c r="F69" s="16">
        <v>42514.392881944441</v>
      </c>
      <c r="G69" s="16"/>
      <c r="H69" s="16"/>
      <c r="I69" s="11">
        <v>69</v>
      </c>
    </row>
    <row r="70" spans="1:9" x14ac:dyDescent="0.2">
      <c r="A70" s="17" t="s">
        <v>241</v>
      </c>
      <c r="B70" s="17" t="s">
        <v>37</v>
      </c>
      <c r="C70" s="16">
        <v>42514.392870370371</v>
      </c>
      <c r="D70" s="17" t="s">
        <v>5</v>
      </c>
      <c r="E70" s="17" t="s">
        <v>51</v>
      </c>
      <c r="F70" s="16">
        <v>42514.394212962965</v>
      </c>
      <c r="G70" s="16"/>
      <c r="H70" s="16"/>
      <c r="I70" s="11">
        <v>70</v>
      </c>
    </row>
    <row r="71" spans="1:9" x14ac:dyDescent="0.2">
      <c r="A71" s="17" t="s">
        <v>238</v>
      </c>
      <c r="B71" s="17" t="s">
        <v>37</v>
      </c>
      <c r="C71" s="16">
        <v>42521.494409722225</v>
      </c>
      <c r="D71" s="17" t="s">
        <v>5</v>
      </c>
      <c r="E71" s="17" t="s">
        <v>40</v>
      </c>
      <c r="F71" s="16">
        <v>42521.494490740741</v>
      </c>
      <c r="G71" s="16"/>
      <c r="H71" s="16"/>
      <c r="I71" s="11">
        <v>71</v>
      </c>
    </row>
    <row r="72" spans="1:9" x14ac:dyDescent="0.2">
      <c r="A72" s="17" t="s">
        <v>238</v>
      </c>
      <c r="B72" s="17" t="s">
        <v>37</v>
      </c>
      <c r="C72" s="16">
        <v>42521.494409722225</v>
      </c>
      <c r="D72" s="17" t="s">
        <v>5</v>
      </c>
      <c r="E72" s="17" t="s">
        <v>123</v>
      </c>
      <c r="F72" s="16">
        <v>42521.500115740739</v>
      </c>
      <c r="G72" s="16"/>
      <c r="H72" s="16"/>
      <c r="I72" s="11">
        <v>72</v>
      </c>
    </row>
    <row r="73" spans="1:9" x14ac:dyDescent="0.2">
      <c r="A73" s="17" t="s">
        <v>238</v>
      </c>
      <c r="B73" s="17" t="s">
        <v>37</v>
      </c>
      <c r="C73" s="16">
        <v>42521.494409722225</v>
      </c>
      <c r="D73" s="17" t="s">
        <v>5</v>
      </c>
      <c r="E73" s="17" t="s">
        <v>54</v>
      </c>
      <c r="F73" s="16">
        <v>42521.525277777779</v>
      </c>
      <c r="G73" s="16"/>
      <c r="H73" s="16"/>
      <c r="I73" s="11">
        <v>73</v>
      </c>
    </row>
    <row r="74" spans="1:9" x14ac:dyDescent="0.2">
      <c r="A74" s="17" t="s">
        <v>238</v>
      </c>
      <c r="B74" s="17" t="s">
        <v>37</v>
      </c>
      <c r="C74" s="16">
        <v>42521.494409722225</v>
      </c>
      <c r="D74" s="17" t="s">
        <v>5</v>
      </c>
      <c r="E74" s="17" t="s">
        <v>240</v>
      </c>
      <c r="F74" s="16">
        <v>42521.618541666663</v>
      </c>
      <c r="G74" s="16"/>
      <c r="H74" s="16"/>
      <c r="I74" s="11">
        <v>74</v>
      </c>
    </row>
    <row r="75" spans="1:9" x14ac:dyDescent="0.2">
      <c r="A75" s="17" t="s">
        <v>238</v>
      </c>
      <c r="B75" s="17" t="s">
        <v>37</v>
      </c>
      <c r="C75" s="16">
        <v>42521.494409722225</v>
      </c>
      <c r="D75" s="17" t="s">
        <v>5</v>
      </c>
      <c r="E75" s="17" t="s">
        <v>36</v>
      </c>
      <c r="F75" s="16">
        <v>42521.621689814812</v>
      </c>
      <c r="G75" s="16"/>
      <c r="H75" s="16"/>
      <c r="I75" s="11">
        <v>75</v>
      </c>
    </row>
    <row r="76" spans="1:9" x14ac:dyDescent="0.2">
      <c r="A76" s="17" t="s">
        <v>238</v>
      </c>
      <c r="B76" s="17" t="s">
        <v>37</v>
      </c>
      <c r="C76" s="16">
        <v>42521.494409722225</v>
      </c>
      <c r="D76" s="17" t="s">
        <v>5</v>
      </c>
      <c r="E76" s="17" t="s">
        <v>46</v>
      </c>
      <c r="F76" s="16">
        <v>42521.644791666666</v>
      </c>
      <c r="G76" s="16"/>
      <c r="H76" s="16"/>
      <c r="I76" s="11">
        <v>76</v>
      </c>
    </row>
    <row r="77" spans="1:9" x14ac:dyDescent="0.2">
      <c r="A77" s="17" t="s">
        <v>238</v>
      </c>
      <c r="B77" s="17" t="s">
        <v>37</v>
      </c>
      <c r="C77" s="16">
        <v>42521.494409722225</v>
      </c>
      <c r="D77" s="17" t="s">
        <v>6</v>
      </c>
      <c r="E77" s="17" t="s">
        <v>239</v>
      </c>
      <c r="F77" s="16">
        <v>42521.64565972222</v>
      </c>
      <c r="G77" s="16"/>
      <c r="H77" s="16"/>
      <c r="I77" s="11">
        <v>77</v>
      </c>
    </row>
    <row r="78" spans="1:9" x14ac:dyDescent="0.2">
      <c r="A78" s="17" t="s">
        <v>238</v>
      </c>
      <c r="B78" s="17" t="s">
        <v>37</v>
      </c>
      <c r="C78" s="16">
        <v>42521.494409722225</v>
      </c>
      <c r="D78" s="17" t="s">
        <v>5</v>
      </c>
      <c r="E78" s="17" t="s">
        <v>51</v>
      </c>
      <c r="F78" s="16">
        <v>42521.646006944444</v>
      </c>
      <c r="G78" s="16"/>
      <c r="H78" s="16"/>
      <c r="I78" s="11">
        <v>78</v>
      </c>
    </row>
    <row r="79" spans="1:9" x14ac:dyDescent="0.2">
      <c r="A79" s="17" t="s">
        <v>237</v>
      </c>
      <c r="B79" s="17" t="s">
        <v>37</v>
      </c>
      <c r="C79" s="16">
        <v>42527.492800925924</v>
      </c>
      <c r="D79" s="17" t="s">
        <v>5</v>
      </c>
      <c r="E79" s="17" t="s">
        <v>40</v>
      </c>
      <c r="F79" s="16">
        <v>42527.492824074077</v>
      </c>
      <c r="G79" s="16"/>
      <c r="H79" s="16"/>
      <c r="I79" s="11">
        <v>79</v>
      </c>
    </row>
    <row r="80" spans="1:9" x14ac:dyDescent="0.2">
      <c r="A80" s="17" t="s">
        <v>237</v>
      </c>
      <c r="B80" s="17" t="s">
        <v>37</v>
      </c>
      <c r="C80" s="16">
        <v>42527.492800925924</v>
      </c>
      <c r="D80" s="17" t="s">
        <v>5</v>
      </c>
      <c r="E80" s="17" t="s">
        <v>36</v>
      </c>
      <c r="F80" s="16">
        <v>42527.495636574073</v>
      </c>
      <c r="G80" s="16"/>
      <c r="H80" s="16"/>
      <c r="I80" s="11">
        <v>80</v>
      </c>
    </row>
    <row r="81" spans="1:9" x14ac:dyDescent="0.2">
      <c r="A81" s="17" t="s">
        <v>237</v>
      </c>
      <c r="B81" s="17" t="s">
        <v>37</v>
      </c>
      <c r="C81" s="16">
        <v>42527.492800925924</v>
      </c>
      <c r="D81" s="17" t="s">
        <v>5</v>
      </c>
      <c r="E81" s="17" t="s">
        <v>51</v>
      </c>
      <c r="F81" s="16">
        <v>42527.537418981483</v>
      </c>
      <c r="G81" s="16"/>
      <c r="H81" s="16"/>
      <c r="I81" s="11">
        <v>81</v>
      </c>
    </row>
    <row r="82" spans="1:9" x14ac:dyDescent="0.2">
      <c r="A82" s="17" t="s">
        <v>236</v>
      </c>
      <c r="B82" s="17" t="s">
        <v>37</v>
      </c>
      <c r="C82" s="16">
        <v>42534.472326388888</v>
      </c>
      <c r="D82" s="17" t="s">
        <v>5</v>
      </c>
      <c r="E82" s="17" t="s">
        <v>40</v>
      </c>
      <c r="F82" s="16">
        <v>42534.472430555557</v>
      </c>
      <c r="G82" s="16"/>
      <c r="H82" s="16"/>
      <c r="I82" s="11">
        <v>82</v>
      </c>
    </row>
    <row r="83" spans="1:9" x14ac:dyDescent="0.2">
      <c r="A83" s="17" t="s">
        <v>236</v>
      </c>
      <c r="B83" s="17" t="s">
        <v>37</v>
      </c>
      <c r="C83" s="16">
        <v>42534.472326388888</v>
      </c>
      <c r="D83" s="17" t="s">
        <v>5</v>
      </c>
      <c r="E83" s="17" t="s">
        <v>36</v>
      </c>
      <c r="F83" s="16">
        <v>42534.472881944443</v>
      </c>
      <c r="G83" s="16"/>
      <c r="H83" s="16"/>
      <c r="I83" s="11">
        <v>83</v>
      </c>
    </row>
    <row r="84" spans="1:9" x14ac:dyDescent="0.2">
      <c r="A84" s="17" t="s">
        <v>236</v>
      </c>
      <c r="B84" s="17" t="s">
        <v>37</v>
      </c>
      <c r="C84" s="16">
        <v>42534.472326388888</v>
      </c>
      <c r="D84" s="17" t="s">
        <v>5</v>
      </c>
      <c r="E84" s="17" t="s">
        <v>51</v>
      </c>
      <c r="F84" s="16">
        <v>42534.531087962961</v>
      </c>
      <c r="G84" s="16"/>
      <c r="H84" s="16"/>
      <c r="I84" s="11">
        <v>84</v>
      </c>
    </row>
    <row r="85" spans="1:9" x14ac:dyDescent="0.2">
      <c r="A85" s="17" t="s">
        <v>235</v>
      </c>
      <c r="B85" s="17" t="s">
        <v>37</v>
      </c>
      <c r="C85" s="16">
        <v>42558.516319444447</v>
      </c>
      <c r="D85" s="17" t="s">
        <v>5</v>
      </c>
      <c r="E85" s="17" t="s">
        <v>40</v>
      </c>
      <c r="F85" s="16">
        <v>42558.516342592593</v>
      </c>
      <c r="G85" s="16"/>
      <c r="H85" s="16"/>
      <c r="I85" s="11">
        <v>85</v>
      </c>
    </row>
    <row r="86" spans="1:9" x14ac:dyDescent="0.2">
      <c r="A86" s="17" t="s">
        <v>235</v>
      </c>
      <c r="B86" s="17" t="s">
        <v>37</v>
      </c>
      <c r="C86" s="16">
        <v>42558.516319444447</v>
      </c>
      <c r="D86" s="17" t="s">
        <v>5</v>
      </c>
      <c r="E86" s="17" t="s">
        <v>36</v>
      </c>
      <c r="F86" s="16">
        <v>42558.516851851855</v>
      </c>
      <c r="G86" s="16"/>
      <c r="H86" s="16"/>
      <c r="I86" s="11">
        <v>86</v>
      </c>
    </row>
    <row r="87" spans="1:9" x14ac:dyDescent="0.2">
      <c r="A87" s="17" t="s">
        <v>235</v>
      </c>
      <c r="B87" s="17" t="s">
        <v>37</v>
      </c>
      <c r="C87" s="16">
        <v>42558.516319444447</v>
      </c>
      <c r="D87" s="17" t="s">
        <v>5</v>
      </c>
      <c r="E87" s="17" t="s">
        <v>51</v>
      </c>
      <c r="F87" s="16">
        <v>42558.533067129632</v>
      </c>
      <c r="G87" s="16"/>
      <c r="H87" s="16"/>
      <c r="I87" s="11">
        <v>87</v>
      </c>
    </row>
    <row r="88" spans="1:9" x14ac:dyDescent="0.2">
      <c r="A88" s="17" t="s">
        <v>234</v>
      </c>
      <c r="B88" s="17" t="s">
        <v>37</v>
      </c>
      <c r="C88" s="16">
        <v>42558.557685185187</v>
      </c>
      <c r="D88" s="17" t="s">
        <v>5</v>
      </c>
      <c r="E88" s="17" t="s">
        <v>40</v>
      </c>
      <c r="F88" s="16">
        <v>42558.55773148148</v>
      </c>
      <c r="G88" s="16"/>
      <c r="H88" s="16"/>
      <c r="I88" s="11">
        <v>88</v>
      </c>
    </row>
    <row r="89" spans="1:9" x14ac:dyDescent="0.2">
      <c r="A89" s="17" t="s">
        <v>234</v>
      </c>
      <c r="B89" s="17" t="s">
        <v>37</v>
      </c>
      <c r="C89" s="16">
        <v>42558.557685185187</v>
      </c>
      <c r="D89" s="17" t="s">
        <v>5</v>
      </c>
      <c r="E89" s="17" t="s">
        <v>36</v>
      </c>
      <c r="F89" s="16">
        <v>42558.559675925928</v>
      </c>
      <c r="G89" s="16"/>
      <c r="H89" s="16"/>
      <c r="I89" s="11">
        <v>89</v>
      </c>
    </row>
    <row r="90" spans="1:9" x14ac:dyDescent="0.2">
      <c r="A90" s="17" t="s">
        <v>234</v>
      </c>
      <c r="B90" s="17" t="s">
        <v>37</v>
      </c>
      <c r="C90" s="16">
        <v>42558.557685185187</v>
      </c>
      <c r="D90" s="17" t="s">
        <v>5</v>
      </c>
      <c r="E90" s="17" t="s">
        <v>213</v>
      </c>
      <c r="F90" s="16">
        <v>42558.568923611114</v>
      </c>
      <c r="G90" s="16"/>
      <c r="H90" s="16"/>
      <c r="I90" s="11">
        <v>90</v>
      </c>
    </row>
    <row r="91" spans="1:9" x14ac:dyDescent="0.2">
      <c r="A91" s="17" t="s">
        <v>233</v>
      </c>
      <c r="B91" s="17" t="s">
        <v>37</v>
      </c>
      <c r="C91" s="16">
        <v>42562.731226851851</v>
      </c>
      <c r="D91" s="17" t="s">
        <v>5</v>
      </c>
      <c r="E91" s="17" t="s">
        <v>40</v>
      </c>
      <c r="F91" s="16">
        <v>42562.73128472222</v>
      </c>
      <c r="G91" s="16"/>
      <c r="H91" s="16"/>
      <c r="I91" s="11">
        <v>91</v>
      </c>
    </row>
    <row r="92" spans="1:9" x14ac:dyDescent="0.2">
      <c r="A92" s="17" t="s">
        <v>233</v>
      </c>
      <c r="B92" s="17" t="s">
        <v>37</v>
      </c>
      <c r="C92" s="16">
        <v>42562.731226851851</v>
      </c>
      <c r="D92" s="17" t="s">
        <v>5</v>
      </c>
      <c r="E92" s="17" t="s">
        <v>36</v>
      </c>
      <c r="F92" s="16">
        <v>42562.735879629632</v>
      </c>
      <c r="G92" s="16"/>
      <c r="H92" s="16"/>
      <c r="I92" s="11">
        <v>92</v>
      </c>
    </row>
    <row r="93" spans="1:9" x14ac:dyDescent="0.2">
      <c r="A93" s="17" t="s">
        <v>233</v>
      </c>
      <c r="B93" s="17" t="s">
        <v>37</v>
      </c>
      <c r="C93" s="16">
        <v>42562.731226851851</v>
      </c>
      <c r="D93" s="17" t="s">
        <v>6</v>
      </c>
      <c r="E93" s="17" t="s">
        <v>92</v>
      </c>
      <c r="F93" s="16">
        <v>42562.755694444444</v>
      </c>
      <c r="G93" s="16"/>
      <c r="H93" s="16"/>
      <c r="I93" s="11">
        <v>93</v>
      </c>
    </row>
    <row r="94" spans="1:9" x14ac:dyDescent="0.2">
      <c r="A94" s="17" t="s">
        <v>233</v>
      </c>
      <c r="B94" s="17" t="s">
        <v>37</v>
      </c>
      <c r="C94" s="16">
        <v>42562.731226851851</v>
      </c>
      <c r="D94" s="17" t="s">
        <v>5</v>
      </c>
      <c r="E94" s="17" t="s">
        <v>46</v>
      </c>
      <c r="F94" s="16">
        <v>42563.515289351853</v>
      </c>
      <c r="G94" s="16"/>
      <c r="H94" s="16"/>
      <c r="I94" s="11">
        <v>94</v>
      </c>
    </row>
    <row r="95" spans="1:9" x14ac:dyDescent="0.2">
      <c r="A95" s="17" t="s">
        <v>233</v>
      </c>
      <c r="B95" s="17" t="s">
        <v>37</v>
      </c>
      <c r="C95" s="16">
        <v>42562.731226851851</v>
      </c>
      <c r="D95" s="17" t="s">
        <v>6</v>
      </c>
      <c r="E95" s="17" t="s">
        <v>44</v>
      </c>
      <c r="F95" s="16">
        <v>42563.516111111108</v>
      </c>
      <c r="G95" s="16"/>
      <c r="H95" s="16"/>
      <c r="I95" s="11">
        <v>95</v>
      </c>
    </row>
    <row r="96" spans="1:9" x14ac:dyDescent="0.2">
      <c r="A96" s="17" t="s">
        <v>233</v>
      </c>
      <c r="B96" s="17" t="s">
        <v>37</v>
      </c>
      <c r="C96" s="16">
        <v>42562.731226851851</v>
      </c>
      <c r="D96" s="17" t="s">
        <v>5</v>
      </c>
      <c r="E96" s="17" t="s">
        <v>51</v>
      </c>
      <c r="F96" s="16">
        <v>42563.516388888886</v>
      </c>
      <c r="G96" s="16"/>
      <c r="H96" s="16"/>
      <c r="I96" s="11">
        <v>96</v>
      </c>
    </row>
    <row r="97" spans="1:9" x14ac:dyDescent="0.2">
      <c r="A97" s="17" t="s">
        <v>232</v>
      </c>
      <c r="B97" s="17" t="s">
        <v>37</v>
      </c>
      <c r="C97" s="16">
        <v>42565.532152777778</v>
      </c>
      <c r="D97" s="17" t="s">
        <v>5</v>
      </c>
      <c r="E97" s="17" t="s">
        <v>40</v>
      </c>
      <c r="F97" s="16">
        <v>42565.532187500001</v>
      </c>
      <c r="G97" s="16"/>
      <c r="H97" s="16"/>
      <c r="I97" s="11">
        <v>97</v>
      </c>
    </row>
    <row r="98" spans="1:9" x14ac:dyDescent="0.2">
      <c r="A98" s="17" t="s">
        <v>232</v>
      </c>
      <c r="B98" s="17" t="s">
        <v>37</v>
      </c>
      <c r="C98" s="16">
        <v>42565.532152777778</v>
      </c>
      <c r="D98" s="17" t="s">
        <v>5</v>
      </c>
      <c r="E98" s="17" t="s">
        <v>36</v>
      </c>
      <c r="F98" s="16">
        <v>42565.532893518517</v>
      </c>
      <c r="G98" s="16"/>
      <c r="H98" s="16"/>
      <c r="I98" s="11">
        <v>98</v>
      </c>
    </row>
    <row r="99" spans="1:9" x14ac:dyDescent="0.2">
      <c r="A99" s="17" t="s">
        <v>232</v>
      </c>
      <c r="B99" s="17" t="s">
        <v>37</v>
      </c>
      <c r="C99" s="16">
        <v>42565.532152777778</v>
      </c>
      <c r="D99" s="17" t="s">
        <v>6</v>
      </c>
      <c r="E99" s="17" t="s">
        <v>56</v>
      </c>
      <c r="F99" s="16">
        <v>42565.535821759258</v>
      </c>
      <c r="G99" s="16"/>
      <c r="H99" s="16"/>
      <c r="I99" s="11">
        <v>99</v>
      </c>
    </row>
    <row r="100" spans="1:9" x14ac:dyDescent="0.2">
      <c r="A100" s="17" t="s">
        <v>232</v>
      </c>
      <c r="B100" s="17" t="s">
        <v>37</v>
      </c>
      <c r="C100" s="16">
        <v>42565.532152777778</v>
      </c>
      <c r="D100" s="17" t="s">
        <v>5</v>
      </c>
      <c r="E100" s="17" t="s">
        <v>41</v>
      </c>
      <c r="F100" s="16">
        <v>42566.334791666668</v>
      </c>
      <c r="G100" s="16"/>
      <c r="H100" s="16"/>
      <c r="I100" s="11">
        <v>100</v>
      </c>
    </row>
    <row r="101" spans="1:9" x14ac:dyDescent="0.2">
      <c r="A101" s="17" t="s">
        <v>232</v>
      </c>
      <c r="B101" s="17" t="s">
        <v>37</v>
      </c>
      <c r="C101" s="16">
        <v>42565.532152777778</v>
      </c>
      <c r="D101" s="17" t="s">
        <v>5</v>
      </c>
      <c r="E101" s="17" t="s">
        <v>36</v>
      </c>
      <c r="F101" s="16">
        <v>42569.571053240739</v>
      </c>
      <c r="G101" s="16"/>
      <c r="H101" s="16"/>
      <c r="I101" s="11">
        <v>101</v>
      </c>
    </row>
    <row r="102" spans="1:9" x14ac:dyDescent="0.2">
      <c r="A102" s="17" t="s">
        <v>232</v>
      </c>
      <c r="B102" s="17" t="s">
        <v>37</v>
      </c>
      <c r="C102" s="16">
        <v>42565.532152777778</v>
      </c>
      <c r="D102" s="17" t="s">
        <v>5</v>
      </c>
      <c r="E102" s="17" t="s">
        <v>46</v>
      </c>
      <c r="F102" s="16">
        <v>42569.575925925928</v>
      </c>
      <c r="G102" s="16"/>
      <c r="H102" s="16"/>
      <c r="I102" s="11">
        <v>102</v>
      </c>
    </row>
    <row r="103" spans="1:9" x14ac:dyDescent="0.2">
      <c r="A103" s="17" t="s">
        <v>232</v>
      </c>
      <c r="B103" s="17" t="s">
        <v>37</v>
      </c>
      <c r="C103" s="16">
        <v>42565.532152777778</v>
      </c>
      <c r="D103" s="17" t="s">
        <v>6</v>
      </c>
      <c r="E103" s="17" t="s">
        <v>44</v>
      </c>
      <c r="F103" s="16">
        <v>42569.593275462961</v>
      </c>
      <c r="G103" s="16"/>
      <c r="H103" s="16"/>
      <c r="I103" s="11">
        <v>103</v>
      </c>
    </row>
    <row r="104" spans="1:9" x14ac:dyDescent="0.2">
      <c r="A104" s="17" t="s">
        <v>232</v>
      </c>
      <c r="B104" s="17" t="s">
        <v>37</v>
      </c>
      <c r="C104" s="16">
        <v>42565.532152777778</v>
      </c>
      <c r="D104" s="17" t="s">
        <v>5</v>
      </c>
      <c r="E104" s="17" t="s">
        <v>51</v>
      </c>
      <c r="F104" s="16">
        <v>42569.593587962961</v>
      </c>
      <c r="G104" s="16"/>
      <c r="H104" s="16"/>
      <c r="I104" s="11">
        <v>104</v>
      </c>
    </row>
    <row r="105" spans="1:9" x14ac:dyDescent="0.2">
      <c r="A105" s="17" t="s">
        <v>231</v>
      </c>
      <c r="B105" s="17" t="s">
        <v>37</v>
      </c>
      <c r="C105" s="16">
        <v>42565.580069444448</v>
      </c>
      <c r="D105" s="17" t="s">
        <v>5</v>
      </c>
      <c r="E105" s="17" t="s">
        <v>40</v>
      </c>
      <c r="F105" s="16">
        <v>42565.580092592594</v>
      </c>
      <c r="G105" s="16"/>
      <c r="H105" s="16"/>
      <c r="I105" s="11">
        <v>105</v>
      </c>
    </row>
    <row r="106" spans="1:9" x14ac:dyDescent="0.2">
      <c r="A106" s="17" t="s">
        <v>231</v>
      </c>
      <c r="B106" s="17" t="s">
        <v>37</v>
      </c>
      <c r="C106" s="16">
        <v>42565.580069444448</v>
      </c>
      <c r="D106" s="17" t="s">
        <v>5</v>
      </c>
      <c r="E106" s="17" t="s">
        <v>36</v>
      </c>
      <c r="F106" s="16">
        <v>42565.582685185182</v>
      </c>
      <c r="G106" s="16"/>
      <c r="H106" s="16"/>
      <c r="I106" s="11">
        <v>106</v>
      </c>
    </row>
    <row r="107" spans="1:9" x14ac:dyDescent="0.2">
      <c r="A107" s="17" t="s">
        <v>231</v>
      </c>
      <c r="B107" s="17" t="s">
        <v>37</v>
      </c>
      <c r="C107" s="16">
        <v>42565.580069444448</v>
      </c>
      <c r="D107" s="17" t="s">
        <v>5</v>
      </c>
      <c r="E107" s="17" t="s">
        <v>46</v>
      </c>
      <c r="F107" s="16">
        <v>42565.589791666665</v>
      </c>
      <c r="G107" s="16"/>
      <c r="H107" s="16"/>
      <c r="I107" s="11">
        <v>107</v>
      </c>
    </row>
    <row r="108" spans="1:9" x14ac:dyDescent="0.2">
      <c r="A108" s="17" t="s">
        <v>231</v>
      </c>
      <c r="B108" s="17" t="s">
        <v>37</v>
      </c>
      <c r="C108" s="16">
        <v>42565.580069444448</v>
      </c>
      <c r="D108" s="17" t="s">
        <v>5</v>
      </c>
      <c r="E108" s="17" t="s">
        <v>36</v>
      </c>
      <c r="F108" s="16">
        <v>42565.618402777778</v>
      </c>
      <c r="G108" s="16"/>
      <c r="H108" s="16"/>
      <c r="I108" s="11">
        <v>108</v>
      </c>
    </row>
    <row r="109" spans="1:9" x14ac:dyDescent="0.2">
      <c r="A109" s="17" t="s">
        <v>231</v>
      </c>
      <c r="B109" s="17" t="s">
        <v>37</v>
      </c>
      <c r="C109" s="16">
        <v>42565.580069444448</v>
      </c>
      <c r="D109" s="17" t="s">
        <v>5</v>
      </c>
      <c r="E109" s="17" t="s">
        <v>51</v>
      </c>
      <c r="F109" s="16">
        <v>42565.62358796296</v>
      </c>
      <c r="G109" s="16"/>
      <c r="H109" s="16"/>
      <c r="I109" s="11">
        <v>109</v>
      </c>
    </row>
    <row r="110" spans="1:9" x14ac:dyDescent="0.2">
      <c r="A110" s="17" t="s">
        <v>230</v>
      </c>
      <c r="B110" s="17" t="s">
        <v>37</v>
      </c>
      <c r="C110" s="16">
        <v>42569.71435185185</v>
      </c>
      <c r="D110" s="17" t="s">
        <v>5</v>
      </c>
      <c r="E110" s="17" t="s">
        <v>40</v>
      </c>
      <c r="F110" s="16">
        <v>42569.714467592596</v>
      </c>
      <c r="G110" s="16"/>
      <c r="H110" s="16"/>
      <c r="I110" s="11">
        <v>110</v>
      </c>
    </row>
    <row r="111" spans="1:9" x14ac:dyDescent="0.2">
      <c r="A111" s="17" t="s">
        <v>230</v>
      </c>
      <c r="B111" s="17" t="s">
        <v>37</v>
      </c>
      <c r="C111" s="16">
        <v>42569.71435185185</v>
      </c>
      <c r="D111" s="17" t="s">
        <v>5</v>
      </c>
      <c r="E111" s="17" t="s">
        <v>46</v>
      </c>
      <c r="F111" s="16">
        <v>42569.71770833333</v>
      </c>
      <c r="G111" s="16"/>
      <c r="H111" s="16"/>
      <c r="I111" s="11">
        <v>111</v>
      </c>
    </row>
    <row r="112" spans="1:9" x14ac:dyDescent="0.2">
      <c r="A112" s="17" t="s">
        <v>230</v>
      </c>
      <c r="B112" s="17" t="s">
        <v>37</v>
      </c>
      <c r="C112" s="16">
        <v>42569.71435185185</v>
      </c>
      <c r="D112" s="17" t="s">
        <v>6</v>
      </c>
      <c r="E112" s="17" t="s">
        <v>44</v>
      </c>
      <c r="F112" s="16">
        <v>42570.412812499999</v>
      </c>
      <c r="G112" s="16"/>
      <c r="H112" s="16"/>
      <c r="I112" s="11">
        <v>112</v>
      </c>
    </row>
    <row r="113" spans="1:9" x14ac:dyDescent="0.2">
      <c r="A113" s="17" t="s">
        <v>230</v>
      </c>
      <c r="B113" s="17" t="s">
        <v>37</v>
      </c>
      <c r="C113" s="16">
        <v>42569.71435185185</v>
      </c>
      <c r="D113" s="17" t="s">
        <v>5</v>
      </c>
      <c r="E113" s="17" t="s">
        <v>51</v>
      </c>
      <c r="F113" s="16">
        <v>42570.413032407407</v>
      </c>
      <c r="G113" s="16"/>
      <c r="H113" s="16"/>
      <c r="I113" s="11">
        <v>113</v>
      </c>
    </row>
    <row r="114" spans="1:9" x14ac:dyDescent="0.2">
      <c r="A114" s="17" t="s">
        <v>229</v>
      </c>
      <c r="B114" s="17" t="s">
        <v>37</v>
      </c>
      <c r="C114" s="16">
        <v>42576.541655092595</v>
      </c>
      <c r="D114" s="17" t="s">
        <v>5</v>
      </c>
      <c r="E114" s="17" t="s">
        <v>40</v>
      </c>
      <c r="F114" s="16">
        <v>42576.541689814818</v>
      </c>
      <c r="G114" s="16"/>
      <c r="H114" s="16"/>
      <c r="I114" s="11">
        <v>114</v>
      </c>
    </row>
    <row r="115" spans="1:9" x14ac:dyDescent="0.2">
      <c r="A115" s="17" t="s">
        <v>229</v>
      </c>
      <c r="B115" s="17" t="s">
        <v>37</v>
      </c>
      <c r="C115" s="16">
        <v>42576.541655092595</v>
      </c>
      <c r="D115" s="17" t="s">
        <v>5</v>
      </c>
      <c r="E115" s="17" t="s">
        <v>36</v>
      </c>
      <c r="F115" s="16">
        <v>42576.54859953704</v>
      </c>
      <c r="G115" s="16"/>
      <c r="H115" s="16"/>
      <c r="I115" s="11">
        <v>115</v>
      </c>
    </row>
    <row r="116" spans="1:9" x14ac:dyDescent="0.2">
      <c r="A116" s="17" t="s">
        <v>229</v>
      </c>
      <c r="B116" s="17" t="s">
        <v>37</v>
      </c>
      <c r="C116" s="16">
        <v>42576.541655092595</v>
      </c>
      <c r="D116" s="17" t="s">
        <v>5</v>
      </c>
      <c r="E116" s="17" t="s">
        <v>51</v>
      </c>
      <c r="F116" s="16">
        <v>42576.639791666668</v>
      </c>
      <c r="G116" s="16"/>
      <c r="H116" s="16"/>
      <c r="I116" s="11">
        <v>116</v>
      </c>
    </row>
    <row r="117" spans="1:9" x14ac:dyDescent="0.2">
      <c r="A117" s="17" t="s">
        <v>228</v>
      </c>
      <c r="B117" s="17" t="s">
        <v>37</v>
      </c>
      <c r="C117" s="16">
        <v>42583.329872685186</v>
      </c>
      <c r="D117" s="17" t="s">
        <v>5</v>
      </c>
      <c r="E117" s="17" t="s">
        <v>40</v>
      </c>
      <c r="F117" s="16">
        <v>42583.329918981479</v>
      </c>
      <c r="G117" s="16"/>
      <c r="H117" s="16"/>
      <c r="I117" s="11">
        <v>117</v>
      </c>
    </row>
    <row r="118" spans="1:9" x14ac:dyDescent="0.2">
      <c r="A118" s="17" t="s">
        <v>228</v>
      </c>
      <c r="B118" s="17" t="s">
        <v>37</v>
      </c>
      <c r="C118" s="16">
        <v>42583.329872685186</v>
      </c>
      <c r="D118" s="17" t="s">
        <v>5</v>
      </c>
      <c r="E118" s="17" t="s">
        <v>36</v>
      </c>
      <c r="F118" s="16">
        <v>42583.335486111115</v>
      </c>
      <c r="G118" s="16"/>
      <c r="H118" s="16"/>
      <c r="I118" s="11">
        <v>118</v>
      </c>
    </row>
    <row r="119" spans="1:9" x14ac:dyDescent="0.2">
      <c r="A119" s="17" t="s">
        <v>228</v>
      </c>
      <c r="B119" s="17" t="s">
        <v>37</v>
      </c>
      <c r="C119" s="16">
        <v>42583.329872685186</v>
      </c>
      <c r="D119" s="17" t="s">
        <v>5</v>
      </c>
      <c r="E119" s="17" t="s">
        <v>51</v>
      </c>
      <c r="F119" s="16">
        <v>42583.376261574071</v>
      </c>
      <c r="G119" s="16"/>
      <c r="H119" s="16"/>
      <c r="I119" s="11">
        <v>119</v>
      </c>
    </row>
    <row r="120" spans="1:9" x14ac:dyDescent="0.2">
      <c r="A120" s="17" t="s">
        <v>227</v>
      </c>
      <c r="B120" s="17" t="s">
        <v>37</v>
      </c>
      <c r="C120" s="16">
        <v>42583.376886574071</v>
      </c>
      <c r="D120" s="17" t="s">
        <v>5</v>
      </c>
      <c r="E120" s="17" t="s">
        <v>40</v>
      </c>
      <c r="F120" s="16">
        <v>42583.376967592594</v>
      </c>
      <c r="G120" s="16"/>
      <c r="H120" s="16"/>
      <c r="I120" s="11">
        <v>120</v>
      </c>
    </row>
    <row r="121" spans="1:9" x14ac:dyDescent="0.2">
      <c r="A121" s="17" t="s">
        <v>227</v>
      </c>
      <c r="B121" s="17" t="s">
        <v>37</v>
      </c>
      <c r="C121" s="16">
        <v>42583.376886574071</v>
      </c>
      <c r="D121" s="17" t="s">
        <v>5</v>
      </c>
      <c r="E121" s="17" t="s">
        <v>36</v>
      </c>
      <c r="F121" s="16">
        <v>42583.379201388889</v>
      </c>
      <c r="G121" s="16"/>
      <c r="H121" s="16"/>
      <c r="I121" s="11">
        <v>121</v>
      </c>
    </row>
    <row r="122" spans="1:9" x14ac:dyDescent="0.2">
      <c r="A122" s="17" t="s">
        <v>227</v>
      </c>
      <c r="B122" s="17" t="s">
        <v>37</v>
      </c>
      <c r="C122" s="16">
        <v>42583.376886574071</v>
      </c>
      <c r="D122" s="17" t="s">
        <v>6</v>
      </c>
      <c r="E122" s="17" t="s">
        <v>211</v>
      </c>
      <c r="F122" s="16">
        <v>42583.391099537039</v>
      </c>
      <c r="G122" s="16"/>
      <c r="H122" s="16"/>
      <c r="I122" s="11">
        <v>122</v>
      </c>
    </row>
    <row r="123" spans="1:9" x14ac:dyDescent="0.2">
      <c r="A123" s="17" t="s">
        <v>227</v>
      </c>
      <c r="B123" s="17" t="s">
        <v>37</v>
      </c>
      <c r="C123" s="16">
        <v>42583.376886574071</v>
      </c>
      <c r="D123" s="17" t="s">
        <v>5</v>
      </c>
      <c r="E123" s="17" t="s">
        <v>51</v>
      </c>
      <c r="F123" s="16">
        <v>42584.481805555559</v>
      </c>
      <c r="G123" s="16"/>
      <c r="H123" s="16"/>
      <c r="I123" s="11">
        <v>123</v>
      </c>
    </row>
    <row r="124" spans="1:9" x14ac:dyDescent="0.2">
      <c r="A124" s="17" t="s">
        <v>226</v>
      </c>
      <c r="B124" s="17" t="s">
        <v>37</v>
      </c>
      <c r="C124" s="16">
        <v>42583.381018518521</v>
      </c>
      <c r="D124" s="17" t="s">
        <v>5</v>
      </c>
      <c r="E124" s="17" t="s">
        <v>40</v>
      </c>
      <c r="F124" s="16">
        <v>42583.381076388891</v>
      </c>
      <c r="G124" s="16"/>
      <c r="H124" s="16"/>
      <c r="I124" s="11">
        <v>124</v>
      </c>
    </row>
    <row r="125" spans="1:9" x14ac:dyDescent="0.2">
      <c r="A125" s="17" t="s">
        <v>226</v>
      </c>
      <c r="B125" s="17" t="s">
        <v>37</v>
      </c>
      <c r="C125" s="16">
        <v>42583.381018518521</v>
      </c>
      <c r="D125" s="17" t="s">
        <v>5</v>
      </c>
      <c r="E125" s="17" t="s">
        <v>51</v>
      </c>
      <c r="F125" s="16">
        <v>42583.389351851853</v>
      </c>
      <c r="G125" s="16"/>
      <c r="H125" s="16"/>
      <c r="I125" s="11">
        <v>125</v>
      </c>
    </row>
    <row r="126" spans="1:9" x14ac:dyDescent="0.2">
      <c r="A126" s="17" t="s">
        <v>225</v>
      </c>
      <c r="B126" s="17" t="s">
        <v>37</v>
      </c>
      <c r="C126" s="16">
        <v>42583.383414351854</v>
      </c>
      <c r="D126" s="17" t="s">
        <v>5</v>
      </c>
      <c r="E126" s="17" t="s">
        <v>40</v>
      </c>
      <c r="F126" s="16">
        <v>42583.383460648147</v>
      </c>
      <c r="G126" s="16"/>
      <c r="H126" s="16"/>
      <c r="I126" s="11">
        <v>126</v>
      </c>
    </row>
    <row r="127" spans="1:9" x14ac:dyDescent="0.2">
      <c r="A127" s="17" t="s">
        <v>225</v>
      </c>
      <c r="B127" s="17" t="s">
        <v>37</v>
      </c>
      <c r="C127" s="16">
        <v>42583.383414351854</v>
      </c>
      <c r="D127" s="17" t="s">
        <v>5</v>
      </c>
      <c r="E127" s="17" t="s">
        <v>36</v>
      </c>
      <c r="F127" s="16">
        <v>42583.383935185186</v>
      </c>
      <c r="G127" s="16"/>
      <c r="H127" s="16"/>
      <c r="I127" s="11">
        <v>127</v>
      </c>
    </row>
    <row r="128" spans="1:9" x14ac:dyDescent="0.2">
      <c r="A128" s="17" t="s">
        <v>225</v>
      </c>
      <c r="B128" s="17" t="s">
        <v>37</v>
      </c>
      <c r="C128" s="16">
        <v>42583.383414351854</v>
      </c>
      <c r="D128" s="17" t="s">
        <v>6</v>
      </c>
      <c r="E128" s="17" t="s">
        <v>211</v>
      </c>
      <c r="F128" s="16">
        <v>42583.391261574077</v>
      </c>
      <c r="G128" s="16"/>
      <c r="H128" s="16"/>
      <c r="I128" s="11">
        <v>128</v>
      </c>
    </row>
    <row r="129" spans="1:9" x14ac:dyDescent="0.2">
      <c r="A129" s="17" t="s">
        <v>225</v>
      </c>
      <c r="B129" s="17" t="s">
        <v>37</v>
      </c>
      <c r="C129" s="16">
        <v>42583.383414351854</v>
      </c>
      <c r="D129" s="17" t="s">
        <v>5</v>
      </c>
      <c r="E129" s="17" t="s">
        <v>51</v>
      </c>
      <c r="F129" s="16">
        <v>42584.482303240744</v>
      </c>
      <c r="G129" s="16"/>
      <c r="H129" s="16"/>
      <c r="I129" s="11">
        <v>129</v>
      </c>
    </row>
    <row r="130" spans="1:9" x14ac:dyDescent="0.2">
      <c r="A130" s="17" t="s">
        <v>224</v>
      </c>
      <c r="B130" s="17" t="s">
        <v>37</v>
      </c>
      <c r="C130" s="16">
        <v>42583.449861111112</v>
      </c>
      <c r="D130" s="17" t="s">
        <v>5</v>
      </c>
      <c r="E130" s="17" t="s">
        <v>40</v>
      </c>
      <c r="F130" s="16">
        <v>42583.449976851851</v>
      </c>
      <c r="G130" s="16"/>
      <c r="H130" s="16"/>
      <c r="I130" s="11">
        <v>130</v>
      </c>
    </row>
    <row r="131" spans="1:9" x14ac:dyDescent="0.2">
      <c r="A131" s="17" t="s">
        <v>224</v>
      </c>
      <c r="B131" s="17" t="s">
        <v>37</v>
      </c>
      <c r="C131" s="16">
        <v>42583.449861111112</v>
      </c>
      <c r="D131" s="17" t="s">
        <v>5</v>
      </c>
      <c r="E131" s="17" t="s">
        <v>36</v>
      </c>
      <c r="F131" s="16">
        <v>42583.451979166668</v>
      </c>
      <c r="G131" s="16"/>
      <c r="H131" s="16"/>
      <c r="I131" s="11">
        <v>131</v>
      </c>
    </row>
    <row r="132" spans="1:9" x14ac:dyDescent="0.2">
      <c r="A132" s="17" t="s">
        <v>224</v>
      </c>
      <c r="B132" s="17" t="s">
        <v>37</v>
      </c>
      <c r="C132" s="16">
        <v>42583.449861111112</v>
      </c>
      <c r="D132" s="17" t="s">
        <v>5</v>
      </c>
      <c r="E132" s="17" t="s">
        <v>46</v>
      </c>
      <c r="F132" s="16">
        <v>42583.455925925926</v>
      </c>
      <c r="G132" s="16"/>
      <c r="H132" s="16"/>
      <c r="I132" s="11">
        <v>132</v>
      </c>
    </row>
    <row r="133" spans="1:9" x14ac:dyDescent="0.2">
      <c r="A133" s="17" t="s">
        <v>224</v>
      </c>
      <c r="B133" s="17" t="s">
        <v>37</v>
      </c>
      <c r="C133" s="16">
        <v>42583.449861111112</v>
      </c>
      <c r="D133" s="17" t="s">
        <v>6</v>
      </c>
      <c r="E133" s="17" t="s">
        <v>44</v>
      </c>
      <c r="F133" s="16">
        <v>42583.463333333333</v>
      </c>
      <c r="G133" s="16"/>
      <c r="H133" s="16"/>
      <c r="I133" s="11">
        <v>133</v>
      </c>
    </row>
    <row r="134" spans="1:9" x14ac:dyDescent="0.2">
      <c r="A134" s="17" t="s">
        <v>224</v>
      </c>
      <c r="B134" s="17" t="s">
        <v>37</v>
      </c>
      <c r="C134" s="16">
        <v>42583.449861111112</v>
      </c>
      <c r="D134" s="17" t="s">
        <v>5</v>
      </c>
      <c r="E134" s="17" t="s">
        <v>36</v>
      </c>
      <c r="F134" s="16">
        <v>42583.463553240741</v>
      </c>
      <c r="G134" s="16"/>
      <c r="H134" s="16"/>
      <c r="I134" s="11">
        <v>134</v>
      </c>
    </row>
    <row r="135" spans="1:9" x14ac:dyDescent="0.2">
      <c r="A135" s="17" t="s">
        <v>224</v>
      </c>
      <c r="B135" s="17" t="s">
        <v>37</v>
      </c>
      <c r="C135" s="16">
        <v>42583.449861111112</v>
      </c>
      <c r="D135" s="17" t="s">
        <v>5</v>
      </c>
      <c r="E135" s="17" t="s">
        <v>51</v>
      </c>
      <c r="F135" s="16">
        <v>42583.526122685187</v>
      </c>
      <c r="G135" s="16"/>
      <c r="H135" s="16"/>
      <c r="I135" s="11">
        <v>135</v>
      </c>
    </row>
    <row r="136" spans="1:9" x14ac:dyDescent="0.2">
      <c r="A136" s="17" t="s">
        <v>223</v>
      </c>
      <c r="B136" s="17" t="s">
        <v>37</v>
      </c>
      <c r="C136" s="16">
        <v>42583.472858796296</v>
      </c>
      <c r="D136" s="17" t="s">
        <v>5</v>
      </c>
      <c r="E136" s="17" t="s">
        <v>40</v>
      </c>
      <c r="F136" s="16">
        <v>42583.472928240742</v>
      </c>
      <c r="G136" s="16"/>
      <c r="H136" s="16"/>
      <c r="I136" s="11">
        <v>136</v>
      </c>
    </row>
    <row r="137" spans="1:9" x14ac:dyDescent="0.2">
      <c r="A137" s="17" t="s">
        <v>223</v>
      </c>
      <c r="B137" s="17" t="s">
        <v>37</v>
      </c>
      <c r="C137" s="16">
        <v>42583.472858796296</v>
      </c>
      <c r="D137" s="17" t="s">
        <v>5</v>
      </c>
      <c r="E137" s="17" t="s">
        <v>36</v>
      </c>
      <c r="F137" s="16">
        <v>42583.47892361111</v>
      </c>
      <c r="G137" s="16"/>
      <c r="H137" s="16"/>
      <c r="I137" s="11">
        <v>137</v>
      </c>
    </row>
    <row r="138" spans="1:9" x14ac:dyDescent="0.2">
      <c r="A138" s="17" t="s">
        <v>223</v>
      </c>
      <c r="B138" s="17" t="s">
        <v>37</v>
      </c>
      <c r="C138" s="16">
        <v>42583.472858796296</v>
      </c>
      <c r="D138" s="17" t="s">
        <v>6</v>
      </c>
      <c r="E138" s="17" t="s">
        <v>47</v>
      </c>
      <c r="F138" s="16">
        <v>42583.47892361111</v>
      </c>
      <c r="G138" s="16"/>
      <c r="H138" s="16"/>
      <c r="I138" s="11">
        <v>138</v>
      </c>
    </row>
    <row r="139" spans="1:9" x14ac:dyDescent="0.2">
      <c r="A139" s="17" t="s">
        <v>223</v>
      </c>
      <c r="B139" s="17" t="s">
        <v>37</v>
      </c>
      <c r="C139" s="16">
        <v>42583.472858796296</v>
      </c>
      <c r="D139" s="17" t="s">
        <v>5</v>
      </c>
      <c r="E139" s="17" t="s">
        <v>51</v>
      </c>
      <c r="F139" s="16">
        <v>42583.530833333331</v>
      </c>
      <c r="G139" s="16"/>
      <c r="H139" s="16"/>
      <c r="I139" s="11">
        <v>139</v>
      </c>
    </row>
    <row r="140" spans="1:9" x14ac:dyDescent="0.2">
      <c r="A140" s="17" t="s">
        <v>222</v>
      </c>
      <c r="B140" s="17" t="s">
        <v>37</v>
      </c>
      <c r="C140" s="16">
        <v>42583.572743055556</v>
      </c>
      <c r="D140" s="17" t="s">
        <v>5</v>
      </c>
      <c r="E140" s="17" t="s">
        <v>40</v>
      </c>
      <c r="F140" s="16">
        <v>42583.572766203702</v>
      </c>
      <c r="G140" s="16"/>
      <c r="H140" s="16"/>
      <c r="I140" s="11">
        <v>140</v>
      </c>
    </row>
    <row r="141" spans="1:9" x14ac:dyDescent="0.2">
      <c r="A141" s="17" t="s">
        <v>222</v>
      </c>
      <c r="B141" s="17" t="s">
        <v>37</v>
      </c>
      <c r="C141" s="16">
        <v>42583.572743055556</v>
      </c>
      <c r="D141" s="17" t="s">
        <v>5</v>
      </c>
      <c r="E141" s="17" t="s">
        <v>36</v>
      </c>
      <c r="F141" s="16">
        <v>42583.573449074072</v>
      </c>
      <c r="G141" s="16"/>
      <c r="H141" s="16"/>
      <c r="I141" s="11">
        <v>141</v>
      </c>
    </row>
    <row r="142" spans="1:9" x14ac:dyDescent="0.2">
      <c r="A142" s="17" t="s">
        <v>222</v>
      </c>
      <c r="B142" s="17" t="s">
        <v>37</v>
      </c>
      <c r="C142" s="16">
        <v>42583.572743055556</v>
      </c>
      <c r="D142" s="17" t="s">
        <v>5</v>
      </c>
      <c r="E142" s="17" t="s">
        <v>51</v>
      </c>
      <c r="F142" s="16">
        <v>42583.643020833333</v>
      </c>
      <c r="G142" s="16"/>
      <c r="H142" s="16"/>
      <c r="I142" s="11">
        <v>142</v>
      </c>
    </row>
    <row r="143" spans="1:9" x14ac:dyDescent="0.2">
      <c r="A143" s="17" t="s">
        <v>221</v>
      </c>
      <c r="B143" s="17" t="s">
        <v>37</v>
      </c>
      <c r="C143" s="16">
        <v>42586.659710648149</v>
      </c>
      <c r="D143" s="17" t="s">
        <v>5</v>
      </c>
      <c r="E143" s="17" t="s">
        <v>51</v>
      </c>
      <c r="F143" s="16">
        <v>42586.660428240742</v>
      </c>
      <c r="G143" s="16"/>
      <c r="H143" s="16"/>
      <c r="I143" s="11">
        <v>143</v>
      </c>
    </row>
    <row r="144" spans="1:9" x14ac:dyDescent="0.2">
      <c r="A144" s="17" t="s">
        <v>220</v>
      </c>
      <c r="B144" s="17" t="s">
        <v>37</v>
      </c>
      <c r="C144" s="16">
        <v>42591.545046296298</v>
      </c>
      <c r="D144" s="17" t="s">
        <v>5</v>
      </c>
      <c r="E144" s="17" t="s">
        <v>40</v>
      </c>
      <c r="F144" s="16">
        <v>42591.545115740744</v>
      </c>
      <c r="G144" s="16"/>
      <c r="H144" s="16"/>
      <c r="I144" s="11">
        <v>144</v>
      </c>
    </row>
    <row r="145" spans="1:9" x14ac:dyDescent="0.2">
      <c r="A145" s="17" t="s">
        <v>220</v>
      </c>
      <c r="B145" s="17" t="s">
        <v>37</v>
      </c>
      <c r="C145" s="16">
        <v>42591.545046296298</v>
      </c>
      <c r="D145" s="17" t="s">
        <v>5</v>
      </c>
      <c r="E145" s="17" t="s">
        <v>46</v>
      </c>
      <c r="F145" s="16">
        <v>42591.552673611113</v>
      </c>
      <c r="G145" s="16"/>
      <c r="H145" s="16"/>
      <c r="I145" s="11">
        <v>145</v>
      </c>
    </row>
    <row r="146" spans="1:9" x14ac:dyDescent="0.2">
      <c r="A146" s="17" t="s">
        <v>220</v>
      </c>
      <c r="B146" s="17" t="s">
        <v>37</v>
      </c>
      <c r="C146" s="16">
        <v>42591.545046296298</v>
      </c>
      <c r="D146" s="17" t="s">
        <v>6</v>
      </c>
      <c r="E146" s="17" t="s">
        <v>44</v>
      </c>
      <c r="F146" s="16">
        <v>42591.57508101852</v>
      </c>
      <c r="G146" s="16"/>
      <c r="H146" s="16"/>
      <c r="I146" s="11">
        <v>146</v>
      </c>
    </row>
    <row r="147" spans="1:9" x14ac:dyDescent="0.2">
      <c r="A147" s="17" t="s">
        <v>220</v>
      </c>
      <c r="B147" s="17" t="s">
        <v>37</v>
      </c>
      <c r="C147" s="16">
        <v>42591.545046296298</v>
      </c>
      <c r="D147" s="17" t="s">
        <v>5</v>
      </c>
      <c r="E147" s="17" t="s">
        <v>51</v>
      </c>
      <c r="F147" s="16">
        <v>42591.575486111113</v>
      </c>
      <c r="G147" s="16"/>
      <c r="H147" s="16"/>
      <c r="I147" s="11">
        <v>147</v>
      </c>
    </row>
    <row r="148" spans="1:9" x14ac:dyDescent="0.2">
      <c r="A148" s="17" t="s">
        <v>219</v>
      </c>
      <c r="B148" s="17" t="s">
        <v>37</v>
      </c>
      <c r="C148" s="16">
        <v>42612.690405092595</v>
      </c>
      <c r="D148" s="17" t="s">
        <v>5</v>
      </c>
      <c r="E148" s="17" t="s">
        <v>40</v>
      </c>
      <c r="F148" s="16">
        <v>42612.690486111111</v>
      </c>
      <c r="G148" s="16"/>
      <c r="H148" s="16"/>
      <c r="I148" s="11">
        <v>148</v>
      </c>
    </row>
    <row r="149" spans="1:9" x14ac:dyDescent="0.2">
      <c r="A149" s="17" t="s">
        <v>219</v>
      </c>
      <c r="B149" s="17" t="s">
        <v>37</v>
      </c>
      <c r="C149" s="16">
        <v>42612.690405092595</v>
      </c>
      <c r="D149" s="17" t="s">
        <v>5</v>
      </c>
      <c r="E149" s="17" t="s">
        <v>51</v>
      </c>
      <c r="F149" s="16">
        <v>42612.696701388886</v>
      </c>
      <c r="G149" s="16"/>
      <c r="H149" s="16"/>
      <c r="I149" s="11">
        <v>149</v>
      </c>
    </row>
    <row r="150" spans="1:9" x14ac:dyDescent="0.2">
      <c r="A150" s="17" t="s">
        <v>218</v>
      </c>
      <c r="B150" s="17" t="s">
        <v>37</v>
      </c>
      <c r="C150" s="16">
        <v>42626.470451388886</v>
      </c>
      <c r="D150" s="17" t="s">
        <v>5</v>
      </c>
      <c r="E150" s="17" t="s">
        <v>40</v>
      </c>
      <c r="F150" s="16">
        <v>42626.470497685186</v>
      </c>
      <c r="G150" s="16"/>
      <c r="H150" s="16"/>
      <c r="I150" s="11">
        <v>150</v>
      </c>
    </row>
    <row r="151" spans="1:9" x14ac:dyDescent="0.2">
      <c r="A151" s="17" t="s">
        <v>218</v>
      </c>
      <c r="B151" s="17" t="s">
        <v>37</v>
      </c>
      <c r="C151" s="16">
        <v>42626.470451388886</v>
      </c>
      <c r="D151" s="17" t="s">
        <v>5</v>
      </c>
      <c r="E151" s="17" t="s">
        <v>36</v>
      </c>
      <c r="F151" s="16">
        <v>42626.472754629627</v>
      </c>
      <c r="G151" s="16"/>
      <c r="H151" s="16"/>
      <c r="I151" s="11">
        <v>151</v>
      </c>
    </row>
    <row r="152" spans="1:9" x14ac:dyDescent="0.2">
      <c r="A152" s="17" t="s">
        <v>218</v>
      </c>
      <c r="B152" s="17" t="s">
        <v>37</v>
      </c>
      <c r="C152" s="16">
        <v>42626.470451388886</v>
      </c>
      <c r="D152" s="17" t="s">
        <v>5</v>
      </c>
      <c r="E152" s="17" t="s">
        <v>51</v>
      </c>
      <c r="F152" s="16">
        <v>42626.477696759262</v>
      </c>
      <c r="G152" s="16"/>
      <c r="H152" s="16"/>
      <c r="I152" s="11">
        <v>152</v>
      </c>
    </row>
    <row r="153" spans="1:9" x14ac:dyDescent="0.2">
      <c r="A153" s="17" t="s">
        <v>218</v>
      </c>
      <c r="B153" s="17" t="s">
        <v>37</v>
      </c>
      <c r="C153" s="16">
        <v>42626.470451388886</v>
      </c>
      <c r="D153" s="17" t="s">
        <v>5</v>
      </c>
      <c r="E153" s="17" t="s">
        <v>36</v>
      </c>
      <c r="F153" s="16">
        <v>42626.638009259259</v>
      </c>
      <c r="G153" s="16"/>
      <c r="H153" s="16"/>
      <c r="I153" s="11">
        <v>153</v>
      </c>
    </row>
    <row r="154" spans="1:9" x14ac:dyDescent="0.2">
      <c r="A154" s="17" t="s">
        <v>218</v>
      </c>
      <c r="B154" s="17" t="s">
        <v>37</v>
      </c>
      <c r="C154" s="16">
        <v>42626.470451388886</v>
      </c>
      <c r="D154" s="17" t="s">
        <v>6</v>
      </c>
      <c r="E154" s="17" t="s">
        <v>92</v>
      </c>
      <c r="F154" s="16">
        <v>42626.695057870369</v>
      </c>
      <c r="G154" s="16"/>
      <c r="H154" s="16"/>
      <c r="I154" s="11">
        <v>154</v>
      </c>
    </row>
    <row r="155" spans="1:9" x14ac:dyDescent="0.2">
      <c r="A155" s="17" t="s">
        <v>218</v>
      </c>
      <c r="B155" s="17" t="s">
        <v>37</v>
      </c>
      <c r="C155" s="16">
        <v>42626.470451388886</v>
      </c>
      <c r="D155" s="17" t="s">
        <v>6</v>
      </c>
      <c r="E155" s="17" t="s">
        <v>47</v>
      </c>
      <c r="F155" s="16">
        <v>42626.699502314812</v>
      </c>
      <c r="G155" s="16"/>
      <c r="H155" s="16"/>
      <c r="I155" s="11">
        <v>155</v>
      </c>
    </row>
    <row r="156" spans="1:9" x14ac:dyDescent="0.2">
      <c r="A156" s="17" t="s">
        <v>218</v>
      </c>
      <c r="B156" s="17" t="s">
        <v>37</v>
      </c>
      <c r="C156" s="16">
        <v>42626.470451388886</v>
      </c>
      <c r="D156" s="17" t="s">
        <v>5</v>
      </c>
      <c r="E156" s="17" t="s">
        <v>51</v>
      </c>
      <c r="F156" s="16">
        <v>42626.700324074074</v>
      </c>
      <c r="G156" s="16"/>
      <c r="H156" s="16"/>
      <c r="I156" s="11">
        <v>156</v>
      </c>
    </row>
    <row r="157" spans="1:9" x14ac:dyDescent="0.2">
      <c r="A157" s="17" t="s">
        <v>217</v>
      </c>
      <c r="B157" s="17" t="s">
        <v>37</v>
      </c>
      <c r="C157" s="16">
        <v>42626.718402777777</v>
      </c>
      <c r="D157" s="17" t="s">
        <v>5</v>
      </c>
      <c r="E157" s="17" t="s">
        <v>40</v>
      </c>
      <c r="F157" s="16">
        <v>42626.718460648146</v>
      </c>
      <c r="G157" s="16"/>
      <c r="H157" s="16"/>
      <c r="I157" s="11">
        <v>157</v>
      </c>
    </row>
    <row r="158" spans="1:9" x14ac:dyDescent="0.2">
      <c r="A158" s="17" t="s">
        <v>217</v>
      </c>
      <c r="B158" s="17" t="s">
        <v>37</v>
      </c>
      <c r="C158" s="16">
        <v>42626.718402777777</v>
      </c>
      <c r="D158" s="17" t="s">
        <v>5</v>
      </c>
      <c r="E158" s="17" t="s">
        <v>51</v>
      </c>
      <c r="F158" s="16">
        <v>42626.720902777779</v>
      </c>
      <c r="G158" s="16"/>
      <c r="H158" s="16"/>
      <c r="I158" s="11">
        <v>158</v>
      </c>
    </row>
    <row r="159" spans="1:9" x14ac:dyDescent="0.2">
      <c r="A159" s="17" t="s">
        <v>216</v>
      </c>
      <c r="B159" s="17" t="s">
        <v>37</v>
      </c>
      <c r="C159" s="16">
        <v>42647.40079861111</v>
      </c>
      <c r="D159" s="17" t="s">
        <v>5</v>
      </c>
      <c r="E159" s="17" t="s">
        <v>40</v>
      </c>
      <c r="F159" s="16">
        <v>42647.40084490741</v>
      </c>
      <c r="G159" s="16"/>
      <c r="H159" s="16"/>
      <c r="I159" s="11">
        <v>159</v>
      </c>
    </row>
    <row r="160" spans="1:9" x14ac:dyDescent="0.2">
      <c r="A160" s="17" t="s">
        <v>216</v>
      </c>
      <c r="B160" s="17" t="s">
        <v>37</v>
      </c>
      <c r="C160" s="16">
        <v>42647.40079861111</v>
      </c>
      <c r="D160" s="17" t="s">
        <v>5</v>
      </c>
      <c r="E160" s="17" t="s">
        <v>36</v>
      </c>
      <c r="F160" s="16">
        <v>42647.404351851852</v>
      </c>
      <c r="G160" s="16"/>
      <c r="H160" s="16"/>
      <c r="I160" s="11">
        <v>160</v>
      </c>
    </row>
    <row r="161" spans="1:9" x14ac:dyDescent="0.2">
      <c r="A161" s="17" t="s">
        <v>216</v>
      </c>
      <c r="B161" s="17" t="s">
        <v>37</v>
      </c>
      <c r="C161" s="16">
        <v>42647.40079861111</v>
      </c>
      <c r="D161" s="17" t="s">
        <v>5</v>
      </c>
      <c r="E161" s="17" t="s">
        <v>213</v>
      </c>
      <c r="F161" s="16">
        <v>42647.408101851855</v>
      </c>
      <c r="G161" s="16"/>
      <c r="H161" s="16"/>
      <c r="I161" s="11">
        <v>161</v>
      </c>
    </row>
    <row r="162" spans="1:9" x14ac:dyDescent="0.2">
      <c r="A162" s="17" t="s">
        <v>215</v>
      </c>
      <c r="B162" s="17" t="s">
        <v>37</v>
      </c>
      <c r="C162" s="16">
        <v>42648.397152777776</v>
      </c>
      <c r="D162" s="17" t="s">
        <v>5</v>
      </c>
      <c r="E162" s="17" t="s">
        <v>40</v>
      </c>
      <c r="F162" s="16">
        <v>42648.397199074076</v>
      </c>
      <c r="G162" s="16"/>
      <c r="H162" s="16"/>
      <c r="I162" s="11">
        <v>162</v>
      </c>
    </row>
    <row r="163" spans="1:9" x14ac:dyDescent="0.2">
      <c r="A163" s="17" t="s">
        <v>215</v>
      </c>
      <c r="B163" s="17" t="s">
        <v>37</v>
      </c>
      <c r="C163" s="16">
        <v>42648.397152777776</v>
      </c>
      <c r="D163" s="17" t="s">
        <v>5</v>
      </c>
      <c r="E163" s="17" t="s">
        <v>36</v>
      </c>
      <c r="F163" s="16">
        <v>42648.407268518517</v>
      </c>
      <c r="G163" s="16"/>
      <c r="H163" s="16"/>
      <c r="I163" s="11">
        <v>163</v>
      </c>
    </row>
    <row r="164" spans="1:9" x14ac:dyDescent="0.2">
      <c r="A164" s="17" t="s">
        <v>215</v>
      </c>
      <c r="B164" s="17" t="s">
        <v>37</v>
      </c>
      <c r="C164" s="16">
        <v>42648.397152777776</v>
      </c>
      <c r="D164" s="17" t="s">
        <v>6</v>
      </c>
      <c r="E164" s="17" t="s">
        <v>39</v>
      </c>
      <c r="F164" s="16">
        <v>42648.482754629629</v>
      </c>
      <c r="G164" s="16"/>
      <c r="H164" s="16"/>
      <c r="I164" s="11">
        <v>164</v>
      </c>
    </row>
    <row r="165" spans="1:9" x14ac:dyDescent="0.2">
      <c r="A165" s="17" t="s">
        <v>215</v>
      </c>
      <c r="B165" s="17" t="s">
        <v>37</v>
      </c>
      <c r="C165" s="16">
        <v>42648.397152777776</v>
      </c>
      <c r="D165" s="17" t="s">
        <v>5</v>
      </c>
      <c r="E165" s="17" t="s">
        <v>51</v>
      </c>
      <c r="F165" s="16">
        <v>42648.571666666663</v>
      </c>
      <c r="G165" s="16"/>
      <c r="H165" s="16"/>
      <c r="I165" s="11">
        <v>165</v>
      </c>
    </row>
    <row r="166" spans="1:9" x14ac:dyDescent="0.2">
      <c r="A166" s="17" t="s">
        <v>214</v>
      </c>
      <c r="B166" s="17" t="s">
        <v>37</v>
      </c>
      <c r="C166" s="16">
        <v>42654.376192129632</v>
      </c>
      <c r="D166" s="17" t="s">
        <v>5</v>
      </c>
      <c r="E166" s="17" t="s">
        <v>40</v>
      </c>
      <c r="F166" s="16">
        <v>42654.376226851855</v>
      </c>
      <c r="G166" s="16"/>
      <c r="H166" s="16"/>
      <c r="I166" s="11">
        <v>166</v>
      </c>
    </row>
    <row r="167" spans="1:9" x14ac:dyDescent="0.2">
      <c r="A167" s="17" t="s">
        <v>214</v>
      </c>
      <c r="B167" s="17" t="s">
        <v>37</v>
      </c>
      <c r="C167" s="16">
        <v>42654.376192129632</v>
      </c>
      <c r="D167" s="17" t="s">
        <v>5</v>
      </c>
      <c r="E167" s="17" t="s">
        <v>36</v>
      </c>
      <c r="F167" s="16">
        <v>42654.390011574076</v>
      </c>
      <c r="G167" s="16"/>
      <c r="H167" s="16"/>
      <c r="I167" s="11">
        <v>167</v>
      </c>
    </row>
    <row r="168" spans="1:9" x14ac:dyDescent="0.2">
      <c r="A168" s="17" t="s">
        <v>214</v>
      </c>
      <c r="B168" s="17" t="s">
        <v>37</v>
      </c>
      <c r="C168" s="16">
        <v>42654.376192129632</v>
      </c>
      <c r="D168" s="17" t="s">
        <v>5</v>
      </c>
      <c r="E168" s="17" t="s">
        <v>213</v>
      </c>
      <c r="F168" s="16">
        <v>42654.392361111109</v>
      </c>
      <c r="G168" s="16"/>
      <c r="H168" s="16"/>
      <c r="I168" s="11">
        <v>168</v>
      </c>
    </row>
    <row r="169" spans="1:9" x14ac:dyDescent="0.2">
      <c r="A169" s="17" t="s">
        <v>212</v>
      </c>
      <c r="B169" s="17" t="s">
        <v>37</v>
      </c>
      <c r="C169" s="16">
        <v>42656.595532407409</v>
      </c>
      <c r="D169" s="17" t="s">
        <v>5</v>
      </c>
      <c r="E169" s="17" t="s">
        <v>40</v>
      </c>
      <c r="F169" s="16">
        <v>42656.595555555556</v>
      </c>
      <c r="G169" s="16"/>
      <c r="H169" s="16"/>
      <c r="I169" s="11">
        <v>169</v>
      </c>
    </row>
    <row r="170" spans="1:9" x14ac:dyDescent="0.2">
      <c r="A170" s="17" t="s">
        <v>212</v>
      </c>
      <c r="B170" s="17" t="s">
        <v>37</v>
      </c>
      <c r="C170" s="16">
        <v>42656.595532407409</v>
      </c>
      <c r="D170" s="17" t="s">
        <v>5</v>
      </c>
      <c r="E170" s="17" t="s">
        <v>36</v>
      </c>
      <c r="F170" s="16">
        <v>42656.602187500001</v>
      </c>
      <c r="G170" s="16"/>
      <c r="H170" s="16"/>
      <c r="I170" s="11">
        <v>170</v>
      </c>
    </row>
    <row r="171" spans="1:9" x14ac:dyDescent="0.2">
      <c r="A171" s="17" t="s">
        <v>212</v>
      </c>
      <c r="B171" s="17" t="s">
        <v>37</v>
      </c>
      <c r="C171" s="16">
        <v>42656.595532407409</v>
      </c>
      <c r="D171" s="17" t="s">
        <v>5</v>
      </c>
      <c r="E171" s="17" t="s">
        <v>53</v>
      </c>
      <c r="F171" s="16">
        <v>42656.607824074075</v>
      </c>
      <c r="G171" s="16"/>
      <c r="H171" s="16"/>
      <c r="I171" s="11">
        <v>171</v>
      </c>
    </row>
    <row r="172" spans="1:9" x14ac:dyDescent="0.2">
      <c r="A172" s="17" t="s">
        <v>212</v>
      </c>
      <c r="B172" s="17" t="s">
        <v>37</v>
      </c>
      <c r="C172" s="16">
        <v>42656.595532407409</v>
      </c>
      <c r="D172" s="17" t="s">
        <v>6</v>
      </c>
      <c r="E172" s="17" t="s">
        <v>56</v>
      </c>
      <c r="F172" s="16">
        <v>42656.607824074075</v>
      </c>
      <c r="G172" s="16"/>
      <c r="H172" s="16"/>
      <c r="I172" s="11">
        <v>172</v>
      </c>
    </row>
    <row r="173" spans="1:9" x14ac:dyDescent="0.2">
      <c r="A173" s="17" t="s">
        <v>212</v>
      </c>
      <c r="B173" s="17" t="s">
        <v>37</v>
      </c>
      <c r="C173" s="16">
        <v>42656.595532407409</v>
      </c>
      <c r="D173" s="17" t="s">
        <v>5</v>
      </c>
      <c r="E173" s="17" t="s">
        <v>51</v>
      </c>
      <c r="F173" s="16">
        <v>42656.623333333337</v>
      </c>
      <c r="G173" s="16"/>
      <c r="H173" s="16"/>
      <c r="I173" s="11">
        <v>173</v>
      </c>
    </row>
    <row r="174" spans="1:9" x14ac:dyDescent="0.2">
      <c r="A174" s="17" t="s">
        <v>210</v>
      </c>
      <c r="B174" s="17" t="s">
        <v>37</v>
      </c>
      <c r="C174" s="16">
        <v>42657.32508101852</v>
      </c>
      <c r="D174" s="17" t="s">
        <v>5</v>
      </c>
      <c r="E174" s="17" t="s">
        <v>40</v>
      </c>
      <c r="F174" s="16">
        <v>42657.325185185182</v>
      </c>
      <c r="G174" s="16"/>
      <c r="H174" s="16"/>
      <c r="I174" s="11">
        <v>174</v>
      </c>
    </row>
    <row r="175" spans="1:9" x14ac:dyDescent="0.2">
      <c r="A175" s="17" t="s">
        <v>210</v>
      </c>
      <c r="B175" s="17" t="s">
        <v>37</v>
      </c>
      <c r="C175" s="16">
        <v>42657.32508101852</v>
      </c>
      <c r="D175" s="17" t="s">
        <v>5</v>
      </c>
      <c r="E175" s="17" t="s">
        <v>36</v>
      </c>
      <c r="F175" s="16">
        <v>42657.326921296299</v>
      </c>
      <c r="G175" s="16"/>
      <c r="H175" s="16"/>
      <c r="I175" s="11">
        <v>175</v>
      </c>
    </row>
    <row r="176" spans="1:9" x14ac:dyDescent="0.2">
      <c r="A176" s="17" t="s">
        <v>210</v>
      </c>
      <c r="B176" s="17" t="s">
        <v>37</v>
      </c>
      <c r="C176" s="16">
        <v>42657.32508101852</v>
      </c>
      <c r="D176" s="17" t="s">
        <v>6</v>
      </c>
      <c r="E176" s="17" t="s">
        <v>211</v>
      </c>
      <c r="F176" s="16">
        <v>42657.383935185186</v>
      </c>
      <c r="G176" s="16"/>
      <c r="H176" s="16"/>
      <c r="I176" s="11">
        <v>176</v>
      </c>
    </row>
    <row r="177" spans="1:9" x14ac:dyDescent="0.2">
      <c r="A177" s="17" t="s">
        <v>210</v>
      </c>
      <c r="B177" s="17" t="s">
        <v>37</v>
      </c>
      <c r="C177" s="16">
        <v>42657.32508101852</v>
      </c>
      <c r="D177" s="17" t="s">
        <v>5</v>
      </c>
      <c r="E177" s="17" t="s">
        <v>51</v>
      </c>
      <c r="F177" s="16">
        <v>42657.582962962966</v>
      </c>
      <c r="G177" s="16"/>
      <c r="H177" s="16"/>
      <c r="I177" s="11">
        <v>177</v>
      </c>
    </row>
    <row r="178" spans="1:9" x14ac:dyDescent="0.2">
      <c r="A178" s="17" t="s">
        <v>209</v>
      </c>
      <c r="B178" s="17" t="s">
        <v>37</v>
      </c>
      <c r="C178" s="16">
        <v>42663.434999999998</v>
      </c>
      <c r="D178" s="17" t="s">
        <v>5</v>
      </c>
      <c r="E178" s="17" t="s">
        <v>40</v>
      </c>
      <c r="F178" s="16">
        <v>42663.435046296298</v>
      </c>
      <c r="G178" s="16"/>
      <c r="H178" s="16"/>
      <c r="I178" s="11">
        <v>178</v>
      </c>
    </row>
    <row r="179" spans="1:9" x14ac:dyDescent="0.2">
      <c r="A179" s="17" t="s">
        <v>209</v>
      </c>
      <c r="B179" s="17" t="s">
        <v>37</v>
      </c>
      <c r="C179" s="16">
        <v>42663.434999999998</v>
      </c>
      <c r="D179" s="17" t="s">
        <v>5</v>
      </c>
      <c r="E179" s="17" t="s">
        <v>46</v>
      </c>
      <c r="F179" s="16">
        <v>42663.439710648148</v>
      </c>
      <c r="G179" s="16"/>
      <c r="H179" s="16"/>
      <c r="I179" s="11">
        <v>179</v>
      </c>
    </row>
    <row r="180" spans="1:9" x14ac:dyDescent="0.2">
      <c r="A180" s="17" t="s">
        <v>209</v>
      </c>
      <c r="B180" s="17" t="s">
        <v>37</v>
      </c>
      <c r="C180" s="16">
        <v>42663.434999999998</v>
      </c>
      <c r="D180" s="17" t="s">
        <v>6</v>
      </c>
      <c r="E180" s="17" t="s">
        <v>187</v>
      </c>
      <c r="F180" s="16">
        <v>42663.51871527778</v>
      </c>
      <c r="G180" s="16"/>
      <c r="H180" s="16"/>
      <c r="I180" s="11">
        <v>180</v>
      </c>
    </row>
    <row r="181" spans="1:9" x14ac:dyDescent="0.2">
      <c r="A181" s="17" t="s">
        <v>209</v>
      </c>
      <c r="B181" s="17" t="s">
        <v>37</v>
      </c>
      <c r="C181" s="16">
        <v>42663.434999999998</v>
      </c>
      <c r="D181" s="17" t="s">
        <v>5</v>
      </c>
      <c r="E181" s="17" t="s">
        <v>51</v>
      </c>
      <c r="F181" s="16">
        <v>42663.523912037039</v>
      </c>
      <c r="G181" s="16"/>
      <c r="H181" s="16"/>
      <c r="I181" s="11">
        <v>181</v>
      </c>
    </row>
    <row r="182" spans="1:9" x14ac:dyDescent="0.2">
      <c r="A182" s="17" t="s">
        <v>208</v>
      </c>
      <c r="B182" s="17" t="s">
        <v>65</v>
      </c>
      <c r="C182" s="16">
        <v>42667.518877314818</v>
      </c>
      <c r="D182" s="17" t="s">
        <v>5</v>
      </c>
      <c r="E182" s="17" t="s">
        <v>40</v>
      </c>
      <c r="F182" s="16">
        <v>42667.518888888888</v>
      </c>
      <c r="G182" s="16"/>
      <c r="H182" s="16"/>
      <c r="I182" s="11">
        <v>182</v>
      </c>
    </row>
    <row r="183" spans="1:9" x14ac:dyDescent="0.2">
      <c r="A183" s="17" t="s">
        <v>208</v>
      </c>
      <c r="B183" s="17" t="s">
        <v>65</v>
      </c>
      <c r="C183" s="16">
        <v>42667.518877314818</v>
      </c>
      <c r="D183" s="17" t="s">
        <v>5</v>
      </c>
      <c r="E183" s="17" t="s">
        <v>36</v>
      </c>
      <c r="F183" s="16">
        <v>42667.519571759258</v>
      </c>
      <c r="G183" s="16"/>
      <c r="H183" s="16"/>
      <c r="I183" s="11">
        <v>183</v>
      </c>
    </row>
    <row r="184" spans="1:9" x14ac:dyDescent="0.2">
      <c r="A184" s="17" t="s">
        <v>208</v>
      </c>
      <c r="B184" s="17" t="s">
        <v>65</v>
      </c>
      <c r="C184" s="16">
        <v>42667.518877314818</v>
      </c>
      <c r="D184" s="17" t="s">
        <v>5</v>
      </c>
      <c r="E184" s="17" t="s">
        <v>51</v>
      </c>
      <c r="F184" s="16">
        <v>42667.533009259256</v>
      </c>
      <c r="G184" s="16"/>
      <c r="H184" s="16"/>
      <c r="I184" s="11">
        <v>184</v>
      </c>
    </row>
    <row r="185" spans="1:9" x14ac:dyDescent="0.2">
      <c r="A185" s="17" t="s">
        <v>208</v>
      </c>
      <c r="B185" s="17" t="s">
        <v>65</v>
      </c>
      <c r="C185" s="16">
        <v>42667.518877314818</v>
      </c>
      <c r="D185" s="17" t="s">
        <v>6</v>
      </c>
      <c r="E185" s="17" t="s">
        <v>147</v>
      </c>
      <c r="F185" s="16">
        <v>42810.538912037038</v>
      </c>
      <c r="G185" s="16"/>
      <c r="H185" s="16"/>
      <c r="I185" s="11">
        <v>185</v>
      </c>
    </row>
    <row r="186" spans="1:9" x14ac:dyDescent="0.2">
      <c r="A186" s="17" t="s">
        <v>207</v>
      </c>
      <c r="B186" s="17" t="s">
        <v>37</v>
      </c>
      <c r="C186" s="16">
        <v>42667.591215277775</v>
      </c>
      <c r="D186" s="17" t="s">
        <v>5</v>
      </c>
      <c r="E186" s="17" t="s">
        <v>40</v>
      </c>
      <c r="F186" s="16">
        <v>42667.591238425928</v>
      </c>
      <c r="G186" s="16"/>
      <c r="H186" s="16"/>
      <c r="I186" s="11">
        <v>186</v>
      </c>
    </row>
    <row r="187" spans="1:9" x14ac:dyDescent="0.2">
      <c r="A187" s="17" t="s">
        <v>207</v>
      </c>
      <c r="B187" s="17" t="s">
        <v>37</v>
      </c>
      <c r="C187" s="16">
        <v>42667.591215277775</v>
      </c>
      <c r="D187" s="17" t="s">
        <v>5</v>
      </c>
      <c r="E187" s="17" t="s">
        <v>36</v>
      </c>
      <c r="F187" s="16">
        <v>42667.591435185182</v>
      </c>
      <c r="G187" s="16"/>
      <c r="H187" s="16"/>
      <c r="I187" s="11">
        <v>187</v>
      </c>
    </row>
    <row r="188" spans="1:9" x14ac:dyDescent="0.2">
      <c r="A188" s="17" t="s">
        <v>207</v>
      </c>
      <c r="B188" s="17" t="s">
        <v>37</v>
      </c>
      <c r="C188" s="16">
        <v>42667.591215277775</v>
      </c>
      <c r="D188" s="17" t="s">
        <v>5</v>
      </c>
      <c r="E188" s="17" t="s">
        <v>46</v>
      </c>
      <c r="F188" s="16">
        <v>42667.608993055554</v>
      </c>
      <c r="G188" s="16"/>
      <c r="H188" s="16"/>
      <c r="I188" s="11">
        <v>188</v>
      </c>
    </row>
    <row r="189" spans="1:9" x14ac:dyDescent="0.2">
      <c r="A189" s="17" t="s">
        <v>207</v>
      </c>
      <c r="B189" s="17" t="s">
        <v>37</v>
      </c>
      <c r="C189" s="16">
        <v>42667.591215277775</v>
      </c>
      <c r="D189" s="17" t="s">
        <v>6</v>
      </c>
      <c r="E189" s="17" t="s">
        <v>44</v>
      </c>
      <c r="F189" s="16">
        <v>42667.649409722224</v>
      </c>
      <c r="G189" s="16"/>
      <c r="H189" s="16"/>
      <c r="I189" s="11">
        <v>189</v>
      </c>
    </row>
    <row r="190" spans="1:9" x14ac:dyDescent="0.2">
      <c r="A190" s="17" t="s">
        <v>207</v>
      </c>
      <c r="B190" s="17" t="s">
        <v>37</v>
      </c>
      <c r="C190" s="16">
        <v>42667.591215277775</v>
      </c>
      <c r="D190" s="17" t="s">
        <v>5</v>
      </c>
      <c r="E190" s="17" t="s">
        <v>51</v>
      </c>
      <c r="F190" s="16">
        <v>42667.649675925924</v>
      </c>
      <c r="G190" s="16"/>
      <c r="H190" s="16"/>
      <c r="I190" s="11">
        <v>190</v>
      </c>
    </row>
    <row r="191" spans="1:9" x14ac:dyDescent="0.2">
      <c r="A191" s="17" t="s">
        <v>206</v>
      </c>
      <c r="B191" s="17" t="s">
        <v>37</v>
      </c>
      <c r="C191" s="16">
        <v>42669.54042824074</v>
      </c>
      <c r="D191" s="17" t="s">
        <v>5</v>
      </c>
      <c r="E191" s="17" t="s">
        <v>40</v>
      </c>
      <c r="F191" s="16">
        <v>42669.540486111109</v>
      </c>
      <c r="G191" s="16"/>
      <c r="H191" s="16"/>
      <c r="I191" s="11">
        <v>191</v>
      </c>
    </row>
    <row r="192" spans="1:9" x14ac:dyDescent="0.2">
      <c r="A192" s="17" t="s">
        <v>206</v>
      </c>
      <c r="B192" s="17" t="s">
        <v>37</v>
      </c>
      <c r="C192" s="16">
        <v>42669.54042824074</v>
      </c>
      <c r="D192" s="17" t="s">
        <v>5</v>
      </c>
      <c r="E192" s="17" t="s">
        <v>46</v>
      </c>
      <c r="F192" s="16">
        <v>42669.541192129633</v>
      </c>
      <c r="G192" s="16"/>
      <c r="H192" s="16"/>
      <c r="I192" s="11">
        <v>192</v>
      </c>
    </row>
    <row r="193" spans="1:9" x14ac:dyDescent="0.2">
      <c r="A193" s="17" t="s">
        <v>206</v>
      </c>
      <c r="B193" s="17" t="s">
        <v>37</v>
      </c>
      <c r="C193" s="16">
        <v>42669.54042824074</v>
      </c>
      <c r="D193" s="17" t="s">
        <v>6</v>
      </c>
      <c r="E193" s="17" t="s">
        <v>194</v>
      </c>
      <c r="F193" s="16">
        <v>42669.570972222224</v>
      </c>
      <c r="G193" s="16"/>
      <c r="H193" s="16"/>
      <c r="I193" s="11">
        <v>193</v>
      </c>
    </row>
    <row r="194" spans="1:9" x14ac:dyDescent="0.2">
      <c r="A194" s="17" t="s">
        <v>206</v>
      </c>
      <c r="B194" s="17" t="s">
        <v>37</v>
      </c>
      <c r="C194" s="16">
        <v>42669.54042824074</v>
      </c>
      <c r="D194" s="17" t="s">
        <v>5</v>
      </c>
      <c r="E194" s="17" t="s">
        <v>36</v>
      </c>
      <c r="F194" s="16">
        <v>42669.572592592594</v>
      </c>
      <c r="G194" s="16"/>
      <c r="H194" s="16"/>
      <c r="I194" s="11">
        <v>194</v>
      </c>
    </row>
    <row r="195" spans="1:9" x14ac:dyDescent="0.2">
      <c r="A195" s="17" t="s">
        <v>206</v>
      </c>
      <c r="B195" s="17" t="s">
        <v>37</v>
      </c>
      <c r="C195" s="16">
        <v>42669.54042824074</v>
      </c>
      <c r="D195" s="17" t="s">
        <v>5</v>
      </c>
      <c r="E195" s="17" t="s">
        <v>51</v>
      </c>
      <c r="F195" s="16">
        <v>42669.594733796293</v>
      </c>
      <c r="G195" s="16"/>
      <c r="H195" s="16"/>
      <c r="I195" s="11">
        <v>195</v>
      </c>
    </row>
    <row r="196" spans="1:9" x14ac:dyDescent="0.2">
      <c r="A196" s="17" t="s">
        <v>205</v>
      </c>
      <c r="B196" s="17" t="s">
        <v>37</v>
      </c>
      <c r="C196" s="16">
        <v>42670.534872685188</v>
      </c>
      <c r="D196" s="17" t="s">
        <v>5</v>
      </c>
      <c r="E196" s="17" t="s">
        <v>40</v>
      </c>
      <c r="F196" s="16">
        <v>42670.534930555557</v>
      </c>
      <c r="G196" s="16"/>
      <c r="H196" s="16"/>
      <c r="I196" s="11">
        <v>196</v>
      </c>
    </row>
    <row r="197" spans="1:9" x14ac:dyDescent="0.2">
      <c r="A197" s="17" t="s">
        <v>205</v>
      </c>
      <c r="B197" s="17" t="s">
        <v>37</v>
      </c>
      <c r="C197" s="16">
        <v>42670.534872685188</v>
      </c>
      <c r="D197" s="17" t="s">
        <v>5</v>
      </c>
      <c r="E197" s="17" t="s">
        <v>36</v>
      </c>
      <c r="F197" s="16">
        <v>42670.537754629629</v>
      </c>
      <c r="G197" s="16"/>
      <c r="H197" s="16"/>
      <c r="I197" s="11">
        <v>197</v>
      </c>
    </row>
    <row r="198" spans="1:9" x14ac:dyDescent="0.2">
      <c r="A198" s="17" t="s">
        <v>205</v>
      </c>
      <c r="B198" s="17" t="s">
        <v>37</v>
      </c>
      <c r="C198" s="16">
        <v>42670.534872685188</v>
      </c>
      <c r="D198" s="17" t="s">
        <v>6</v>
      </c>
      <c r="E198" s="17" t="s">
        <v>47</v>
      </c>
      <c r="F198" s="16">
        <v>42670.545162037037</v>
      </c>
      <c r="G198" s="16"/>
      <c r="H198" s="16"/>
      <c r="I198" s="11">
        <v>198</v>
      </c>
    </row>
    <row r="199" spans="1:9" x14ac:dyDescent="0.2">
      <c r="A199" s="17" t="s">
        <v>205</v>
      </c>
      <c r="B199" s="17" t="s">
        <v>37</v>
      </c>
      <c r="C199" s="16">
        <v>42670.534872685188</v>
      </c>
      <c r="D199" s="17" t="s">
        <v>5</v>
      </c>
      <c r="E199" s="17" t="s">
        <v>51</v>
      </c>
      <c r="F199" s="16">
        <v>42670.582488425927</v>
      </c>
      <c r="G199" s="16"/>
      <c r="H199" s="16"/>
      <c r="I199" s="11">
        <v>199</v>
      </c>
    </row>
    <row r="200" spans="1:9" x14ac:dyDescent="0.2">
      <c r="A200" s="17" t="s">
        <v>204</v>
      </c>
      <c r="B200" s="17" t="s">
        <v>37</v>
      </c>
      <c r="C200" s="16">
        <v>42674.364745370367</v>
      </c>
      <c r="D200" s="17" t="s">
        <v>5</v>
      </c>
      <c r="E200" s="17" t="s">
        <v>40</v>
      </c>
      <c r="F200" s="16">
        <v>42674.364791666667</v>
      </c>
      <c r="G200" s="16"/>
      <c r="H200" s="16"/>
      <c r="I200" s="11">
        <v>200</v>
      </c>
    </row>
    <row r="201" spans="1:9" x14ac:dyDescent="0.2">
      <c r="A201" s="17" t="s">
        <v>204</v>
      </c>
      <c r="B201" s="17" t="s">
        <v>37</v>
      </c>
      <c r="C201" s="16">
        <v>42674.364745370367</v>
      </c>
      <c r="D201" s="17" t="s">
        <v>5</v>
      </c>
      <c r="E201" s="17" t="s">
        <v>46</v>
      </c>
      <c r="F201" s="16">
        <v>42674.368784722225</v>
      </c>
      <c r="G201" s="16"/>
      <c r="H201" s="16"/>
      <c r="I201" s="11">
        <v>201</v>
      </c>
    </row>
    <row r="202" spans="1:9" x14ac:dyDescent="0.2">
      <c r="A202" s="17" t="s">
        <v>204</v>
      </c>
      <c r="B202" s="17" t="s">
        <v>37</v>
      </c>
      <c r="C202" s="16">
        <v>42674.364745370367</v>
      </c>
      <c r="D202" s="17" t="s">
        <v>6</v>
      </c>
      <c r="E202" s="17" t="s">
        <v>44</v>
      </c>
      <c r="F202" s="16">
        <v>42674.39298611111</v>
      </c>
      <c r="G202" s="16"/>
      <c r="H202" s="16"/>
      <c r="I202" s="11">
        <v>202</v>
      </c>
    </row>
    <row r="203" spans="1:9" x14ac:dyDescent="0.2">
      <c r="A203" s="17" t="s">
        <v>204</v>
      </c>
      <c r="B203" s="17" t="s">
        <v>37</v>
      </c>
      <c r="C203" s="16">
        <v>42674.364745370367</v>
      </c>
      <c r="D203" s="17" t="s">
        <v>5</v>
      </c>
      <c r="E203" s="17" t="s">
        <v>51</v>
      </c>
      <c r="F203" s="16">
        <v>42674.393229166664</v>
      </c>
      <c r="G203" s="16"/>
      <c r="H203" s="16"/>
      <c r="I203" s="11">
        <v>203</v>
      </c>
    </row>
    <row r="204" spans="1:9" x14ac:dyDescent="0.2">
      <c r="A204" s="17" t="s">
        <v>203</v>
      </c>
      <c r="B204" s="17" t="s">
        <v>37</v>
      </c>
      <c r="C204" s="16">
        <v>42676.532268518517</v>
      </c>
      <c r="D204" s="17" t="s">
        <v>5</v>
      </c>
      <c r="E204" s="17" t="s">
        <v>40</v>
      </c>
      <c r="F204" s="16">
        <v>42676.532337962963</v>
      </c>
      <c r="G204" s="16"/>
      <c r="H204" s="16"/>
      <c r="I204" s="11">
        <v>204</v>
      </c>
    </row>
    <row r="205" spans="1:9" x14ac:dyDescent="0.2">
      <c r="A205" s="17" t="s">
        <v>203</v>
      </c>
      <c r="B205" s="17" t="s">
        <v>37</v>
      </c>
      <c r="C205" s="16">
        <v>42676.532268518517</v>
      </c>
      <c r="D205" s="17" t="s">
        <v>5</v>
      </c>
      <c r="E205" s="17" t="s">
        <v>36</v>
      </c>
      <c r="F205" s="16">
        <v>42676.534178240741</v>
      </c>
      <c r="G205" s="16"/>
      <c r="H205" s="16"/>
      <c r="I205" s="11">
        <v>205</v>
      </c>
    </row>
    <row r="206" spans="1:9" x14ac:dyDescent="0.2">
      <c r="A206" s="17" t="s">
        <v>203</v>
      </c>
      <c r="B206" s="17" t="s">
        <v>37</v>
      </c>
      <c r="C206" s="16">
        <v>42676.532268518517</v>
      </c>
      <c r="D206" s="17" t="s">
        <v>5</v>
      </c>
      <c r="E206" s="17" t="s">
        <v>51</v>
      </c>
      <c r="F206" s="16">
        <v>42676.563391203701</v>
      </c>
      <c r="G206" s="16"/>
      <c r="H206" s="16"/>
      <c r="I206" s="11">
        <v>206</v>
      </c>
    </row>
    <row r="207" spans="1:9" x14ac:dyDescent="0.2">
      <c r="A207" s="17" t="s">
        <v>202</v>
      </c>
      <c r="B207" s="17" t="s">
        <v>37</v>
      </c>
      <c r="C207" s="16">
        <v>42691.546643518515</v>
      </c>
      <c r="D207" s="17" t="s">
        <v>5</v>
      </c>
      <c r="E207" s="17" t="s">
        <v>40</v>
      </c>
      <c r="F207" s="16">
        <v>42691.546678240738</v>
      </c>
      <c r="G207" s="16"/>
      <c r="H207" s="16"/>
      <c r="I207" s="11">
        <v>207</v>
      </c>
    </row>
    <row r="208" spans="1:9" x14ac:dyDescent="0.2">
      <c r="A208" s="17" t="s">
        <v>202</v>
      </c>
      <c r="B208" s="17" t="s">
        <v>37</v>
      </c>
      <c r="C208" s="16">
        <v>42691.546643518515</v>
      </c>
      <c r="D208" s="17" t="s">
        <v>5</v>
      </c>
      <c r="E208" s="17" t="s">
        <v>46</v>
      </c>
      <c r="F208" s="16">
        <v>42691.547407407408</v>
      </c>
      <c r="G208" s="16"/>
      <c r="H208" s="16"/>
      <c r="I208" s="11">
        <v>208</v>
      </c>
    </row>
    <row r="209" spans="1:9" x14ac:dyDescent="0.2">
      <c r="A209" s="17" t="s">
        <v>202</v>
      </c>
      <c r="B209" s="17" t="s">
        <v>37</v>
      </c>
      <c r="C209" s="16">
        <v>42691.546643518515</v>
      </c>
      <c r="D209" s="17" t="s">
        <v>6</v>
      </c>
      <c r="E209" s="17" t="s">
        <v>44</v>
      </c>
      <c r="F209" s="16">
        <v>42691.592604166668</v>
      </c>
      <c r="G209" s="16"/>
      <c r="H209" s="16"/>
      <c r="I209" s="11">
        <v>209</v>
      </c>
    </row>
    <row r="210" spans="1:9" x14ac:dyDescent="0.2">
      <c r="A210" s="17" t="s">
        <v>202</v>
      </c>
      <c r="B210" s="17" t="s">
        <v>37</v>
      </c>
      <c r="C210" s="16">
        <v>42691.546643518515</v>
      </c>
      <c r="D210" s="17" t="s">
        <v>5</v>
      </c>
      <c r="E210" s="17" t="s">
        <v>51</v>
      </c>
      <c r="F210" s="16">
        <v>42691.668576388889</v>
      </c>
      <c r="G210" s="16"/>
      <c r="H210" s="16"/>
      <c r="I210" s="11">
        <v>210</v>
      </c>
    </row>
    <row r="211" spans="1:9" x14ac:dyDescent="0.2">
      <c r="A211" s="17" t="s">
        <v>201</v>
      </c>
      <c r="B211" s="17" t="s">
        <v>37</v>
      </c>
      <c r="C211" s="16">
        <v>42705.547777777778</v>
      </c>
      <c r="D211" s="17" t="s">
        <v>5</v>
      </c>
      <c r="E211" s="17" t="s">
        <v>40</v>
      </c>
      <c r="F211" s="16">
        <v>42705.547881944447</v>
      </c>
      <c r="G211" s="16"/>
      <c r="H211" s="16"/>
      <c r="I211" s="11">
        <v>211</v>
      </c>
    </row>
    <row r="212" spans="1:9" x14ac:dyDescent="0.2">
      <c r="A212" s="17" t="s">
        <v>201</v>
      </c>
      <c r="B212" s="17" t="s">
        <v>37</v>
      </c>
      <c r="C212" s="16">
        <v>42705.547777777778</v>
      </c>
      <c r="D212" s="17" t="s">
        <v>5</v>
      </c>
      <c r="E212" s="17" t="s">
        <v>90</v>
      </c>
      <c r="F212" s="16">
        <v>42705.549386574072</v>
      </c>
      <c r="G212" s="16"/>
      <c r="H212" s="16"/>
      <c r="I212" s="11">
        <v>212</v>
      </c>
    </row>
    <row r="213" spans="1:9" x14ac:dyDescent="0.2">
      <c r="A213" s="17" t="s">
        <v>201</v>
      </c>
      <c r="B213" s="17" t="s">
        <v>37</v>
      </c>
      <c r="C213" s="16">
        <v>42705.547777777778</v>
      </c>
      <c r="D213" s="17" t="s">
        <v>6</v>
      </c>
      <c r="E213" s="17" t="s">
        <v>89</v>
      </c>
      <c r="F213" s="16">
        <v>42705.597071759257</v>
      </c>
      <c r="G213" s="16"/>
      <c r="H213" s="16"/>
      <c r="I213" s="11">
        <v>213</v>
      </c>
    </row>
    <row r="214" spans="1:9" x14ac:dyDescent="0.2">
      <c r="A214" s="17" t="s">
        <v>201</v>
      </c>
      <c r="B214" s="17" t="s">
        <v>37</v>
      </c>
      <c r="C214" s="16">
        <v>42705.547777777778</v>
      </c>
      <c r="D214" s="17" t="s">
        <v>5</v>
      </c>
      <c r="E214" s="17" t="s">
        <v>36</v>
      </c>
      <c r="F214" s="16">
        <v>42710.350370370368</v>
      </c>
      <c r="G214" s="16"/>
      <c r="H214" s="16"/>
      <c r="I214" s="11">
        <v>214</v>
      </c>
    </row>
    <row r="215" spans="1:9" x14ac:dyDescent="0.2">
      <c r="A215" s="17" t="s">
        <v>201</v>
      </c>
      <c r="B215" s="17" t="s">
        <v>37</v>
      </c>
      <c r="C215" s="16">
        <v>42705.547777777778</v>
      </c>
      <c r="D215" s="17" t="s">
        <v>6</v>
      </c>
      <c r="E215" s="17" t="s">
        <v>71</v>
      </c>
      <c r="F215" s="16">
        <v>42710.351701388892</v>
      </c>
      <c r="G215" s="16"/>
      <c r="H215" s="16"/>
      <c r="I215" s="11">
        <v>215</v>
      </c>
    </row>
    <row r="216" spans="1:9" x14ac:dyDescent="0.2">
      <c r="A216" s="17" t="s">
        <v>201</v>
      </c>
      <c r="B216" s="17" t="s">
        <v>37</v>
      </c>
      <c r="C216" s="16">
        <v>42705.547777777778</v>
      </c>
      <c r="D216" s="17" t="s">
        <v>5</v>
      </c>
      <c r="E216" s="17" t="s">
        <v>51</v>
      </c>
      <c r="F216" s="16">
        <v>42710.370150462964</v>
      </c>
      <c r="G216" s="16"/>
      <c r="H216" s="16"/>
      <c r="I216" s="11">
        <v>216</v>
      </c>
    </row>
    <row r="217" spans="1:9" x14ac:dyDescent="0.2">
      <c r="A217" s="17" t="s">
        <v>201</v>
      </c>
      <c r="B217" s="17" t="s">
        <v>37</v>
      </c>
      <c r="C217" s="16">
        <v>42705.547777777778</v>
      </c>
      <c r="D217" s="17" t="s">
        <v>5</v>
      </c>
      <c r="E217" s="17" t="s">
        <v>36</v>
      </c>
      <c r="F217" s="16">
        <v>42710.378148148149</v>
      </c>
      <c r="G217" s="16"/>
      <c r="H217" s="16"/>
      <c r="I217" s="11">
        <v>217</v>
      </c>
    </row>
    <row r="218" spans="1:9" x14ac:dyDescent="0.2">
      <c r="A218" s="17" t="s">
        <v>201</v>
      </c>
      <c r="B218" s="17" t="s">
        <v>37</v>
      </c>
      <c r="C218" s="16">
        <v>42705.547777777778</v>
      </c>
      <c r="D218" s="17" t="s">
        <v>5</v>
      </c>
      <c r="E218" s="17" t="s">
        <v>51</v>
      </c>
      <c r="F218" s="16">
        <v>42710.378437500003</v>
      </c>
      <c r="G218" s="16"/>
      <c r="H218" s="16"/>
      <c r="I218" s="11">
        <v>218</v>
      </c>
    </row>
    <row r="219" spans="1:9" x14ac:dyDescent="0.2">
      <c r="A219" s="17" t="s">
        <v>199</v>
      </c>
      <c r="B219" s="17" t="s">
        <v>37</v>
      </c>
      <c r="C219" s="16">
        <v>42720.342789351853</v>
      </c>
      <c r="D219" s="17" t="s">
        <v>5</v>
      </c>
      <c r="E219" s="17" t="s">
        <v>40</v>
      </c>
      <c r="F219" s="16">
        <v>42720.342835648145</v>
      </c>
      <c r="G219" s="16"/>
      <c r="H219" s="16"/>
      <c r="I219" s="11">
        <v>219</v>
      </c>
    </row>
    <row r="220" spans="1:9" x14ac:dyDescent="0.2">
      <c r="A220" s="17" t="s">
        <v>199</v>
      </c>
      <c r="B220" s="17" t="s">
        <v>37</v>
      </c>
      <c r="C220" s="16">
        <v>42720.342789351853</v>
      </c>
      <c r="D220" s="17" t="s">
        <v>5</v>
      </c>
      <c r="E220" s="17" t="s">
        <v>200</v>
      </c>
      <c r="F220" s="16">
        <v>42720.34646990741</v>
      </c>
      <c r="G220" s="16"/>
      <c r="H220" s="16"/>
      <c r="I220" s="11">
        <v>220</v>
      </c>
    </row>
    <row r="221" spans="1:9" x14ac:dyDescent="0.2">
      <c r="A221" s="17" t="s">
        <v>199</v>
      </c>
      <c r="B221" s="17" t="s">
        <v>37</v>
      </c>
      <c r="C221" s="16">
        <v>42720.342789351853</v>
      </c>
      <c r="D221" s="17" t="s">
        <v>5</v>
      </c>
      <c r="E221" s="17" t="s">
        <v>46</v>
      </c>
      <c r="F221" s="16">
        <v>42720.42597222222</v>
      </c>
      <c r="G221" s="16"/>
      <c r="H221" s="16"/>
      <c r="I221" s="11">
        <v>221</v>
      </c>
    </row>
    <row r="222" spans="1:9" x14ac:dyDescent="0.2">
      <c r="A222" s="17" t="s">
        <v>199</v>
      </c>
      <c r="B222" s="17" t="s">
        <v>37</v>
      </c>
      <c r="C222" s="16">
        <v>42720.342789351853</v>
      </c>
      <c r="D222" s="17" t="s">
        <v>6</v>
      </c>
      <c r="E222" s="17" t="s">
        <v>44</v>
      </c>
      <c r="F222" s="16">
        <v>42720.4299537037</v>
      </c>
      <c r="G222" s="16"/>
      <c r="H222" s="16"/>
      <c r="I222" s="11">
        <v>222</v>
      </c>
    </row>
    <row r="223" spans="1:9" x14ac:dyDescent="0.2">
      <c r="A223" s="17" t="s">
        <v>199</v>
      </c>
      <c r="B223" s="17" t="s">
        <v>37</v>
      </c>
      <c r="C223" s="16">
        <v>42720.342789351853</v>
      </c>
      <c r="D223" s="17" t="s">
        <v>5</v>
      </c>
      <c r="E223" s="17" t="s">
        <v>51</v>
      </c>
      <c r="F223" s="16">
        <v>42720.430219907408</v>
      </c>
      <c r="G223" s="16"/>
      <c r="H223" s="16"/>
      <c r="I223" s="11">
        <v>223</v>
      </c>
    </row>
    <row r="224" spans="1:9" x14ac:dyDescent="0.2">
      <c r="A224" s="17" t="s">
        <v>198</v>
      </c>
      <c r="B224" s="17" t="s">
        <v>37</v>
      </c>
      <c r="C224" s="16">
        <v>42731.363611111112</v>
      </c>
      <c r="D224" s="17" t="s">
        <v>5</v>
      </c>
      <c r="E224" s="17" t="s">
        <v>40</v>
      </c>
      <c r="F224" s="16">
        <v>42731.363634259258</v>
      </c>
      <c r="G224" s="16"/>
      <c r="H224" s="16"/>
      <c r="I224" s="11">
        <v>224</v>
      </c>
    </row>
    <row r="225" spans="1:9" x14ac:dyDescent="0.2">
      <c r="A225" s="17" t="s">
        <v>198</v>
      </c>
      <c r="B225" s="17" t="s">
        <v>37</v>
      </c>
      <c r="C225" s="16">
        <v>42731.363611111112</v>
      </c>
      <c r="D225" s="17" t="s">
        <v>5</v>
      </c>
      <c r="E225" s="17" t="s">
        <v>36</v>
      </c>
      <c r="F225" s="16">
        <v>42731.367048611108</v>
      </c>
      <c r="G225" s="16"/>
      <c r="H225" s="16"/>
      <c r="I225" s="11">
        <v>225</v>
      </c>
    </row>
    <row r="226" spans="1:9" x14ac:dyDescent="0.2">
      <c r="A226" s="17" t="s">
        <v>198</v>
      </c>
      <c r="B226" s="17" t="s">
        <v>37</v>
      </c>
      <c r="C226" s="16">
        <v>42731.363611111112</v>
      </c>
      <c r="D226" s="17" t="s">
        <v>6</v>
      </c>
      <c r="E226" s="17" t="s">
        <v>155</v>
      </c>
      <c r="F226" s="16">
        <v>42731.378298611111</v>
      </c>
      <c r="G226" s="16"/>
      <c r="H226" s="16"/>
      <c r="I226" s="11">
        <v>226</v>
      </c>
    </row>
    <row r="227" spans="1:9" x14ac:dyDescent="0.2">
      <c r="A227" s="17" t="s">
        <v>198</v>
      </c>
      <c r="B227" s="17" t="s">
        <v>37</v>
      </c>
      <c r="C227" s="16">
        <v>42731.363611111112</v>
      </c>
      <c r="D227" s="17" t="s">
        <v>5</v>
      </c>
      <c r="E227" s="17" t="s">
        <v>51</v>
      </c>
      <c r="F227" s="16">
        <v>42734.379872685182</v>
      </c>
      <c r="G227" s="16"/>
      <c r="H227" s="16"/>
      <c r="I227" s="11">
        <v>227</v>
      </c>
    </row>
    <row r="228" spans="1:9" x14ac:dyDescent="0.2">
      <c r="A228" s="17" t="s">
        <v>197</v>
      </c>
      <c r="B228" s="17" t="s">
        <v>37</v>
      </c>
      <c r="C228" s="16">
        <v>42734.394490740742</v>
      </c>
      <c r="D228" s="17" t="s">
        <v>5</v>
      </c>
      <c r="E228" s="17" t="s">
        <v>40</v>
      </c>
      <c r="F228" s="16">
        <v>42734.394502314812</v>
      </c>
      <c r="G228" s="16"/>
      <c r="H228" s="16"/>
      <c r="I228" s="11">
        <v>228</v>
      </c>
    </row>
    <row r="229" spans="1:9" x14ac:dyDescent="0.2">
      <c r="A229" s="17" t="s">
        <v>197</v>
      </c>
      <c r="B229" s="17" t="s">
        <v>37</v>
      </c>
      <c r="C229" s="16">
        <v>42734.394490740742</v>
      </c>
      <c r="D229" s="17" t="s">
        <v>5</v>
      </c>
      <c r="E229" s="17" t="s">
        <v>51</v>
      </c>
      <c r="F229" s="16">
        <v>42734.395069444443</v>
      </c>
      <c r="G229" s="16"/>
      <c r="H229" s="16"/>
      <c r="I229" s="11">
        <v>229</v>
      </c>
    </row>
    <row r="230" spans="1:9" x14ac:dyDescent="0.2">
      <c r="A230" s="17" t="s">
        <v>196</v>
      </c>
      <c r="B230" s="17" t="s">
        <v>37</v>
      </c>
      <c r="C230" s="16">
        <v>42744.474699074075</v>
      </c>
      <c r="D230" s="17" t="s">
        <v>5</v>
      </c>
      <c r="E230" s="17" t="s">
        <v>40</v>
      </c>
      <c r="F230" s="16">
        <v>42744.474722222221</v>
      </c>
      <c r="G230" s="16"/>
      <c r="H230" s="16"/>
      <c r="I230" s="11">
        <v>230</v>
      </c>
    </row>
    <row r="231" spans="1:9" x14ac:dyDescent="0.2">
      <c r="A231" s="17" t="s">
        <v>196</v>
      </c>
      <c r="B231" s="17" t="s">
        <v>37</v>
      </c>
      <c r="C231" s="16">
        <v>42744.474699074075</v>
      </c>
      <c r="D231" s="17" t="s">
        <v>5</v>
      </c>
      <c r="E231" s="17" t="s">
        <v>51</v>
      </c>
      <c r="F231" s="16">
        <v>42744.485254629632</v>
      </c>
      <c r="G231" s="16"/>
      <c r="H231" s="16"/>
      <c r="I231" s="11">
        <v>231</v>
      </c>
    </row>
    <row r="232" spans="1:9" x14ac:dyDescent="0.2">
      <c r="A232" s="17" t="s">
        <v>195</v>
      </c>
      <c r="B232" s="17" t="s">
        <v>37</v>
      </c>
      <c r="C232" s="16">
        <v>42758.690960648149</v>
      </c>
      <c r="D232" s="17" t="s">
        <v>5</v>
      </c>
      <c r="E232" s="17" t="s">
        <v>40</v>
      </c>
      <c r="F232" s="16">
        <v>42758.690972222219</v>
      </c>
      <c r="G232" s="16"/>
      <c r="H232" s="16"/>
      <c r="I232" s="11">
        <v>232</v>
      </c>
    </row>
    <row r="233" spans="1:9" x14ac:dyDescent="0.2">
      <c r="A233" s="17" t="s">
        <v>195</v>
      </c>
      <c r="B233" s="17" t="s">
        <v>37</v>
      </c>
      <c r="C233" s="16">
        <v>42758.690960648149</v>
      </c>
      <c r="D233" s="17" t="s">
        <v>5</v>
      </c>
      <c r="E233" s="17" t="s">
        <v>36</v>
      </c>
      <c r="F233" s="16">
        <v>42758.694456018522</v>
      </c>
      <c r="G233" s="16"/>
      <c r="H233" s="16"/>
      <c r="I233" s="11">
        <v>233</v>
      </c>
    </row>
    <row r="234" spans="1:9" x14ac:dyDescent="0.2">
      <c r="A234" s="17" t="s">
        <v>195</v>
      </c>
      <c r="B234" s="17" t="s">
        <v>37</v>
      </c>
      <c r="C234" s="16">
        <v>42758.690960648149</v>
      </c>
      <c r="D234" s="17" t="s">
        <v>6</v>
      </c>
      <c r="E234" s="17" t="s">
        <v>39</v>
      </c>
      <c r="F234" s="16">
        <v>42758.70821759259</v>
      </c>
      <c r="G234" s="16"/>
      <c r="H234" s="16"/>
      <c r="I234" s="11">
        <v>234</v>
      </c>
    </row>
    <row r="235" spans="1:9" x14ac:dyDescent="0.2">
      <c r="A235" s="17" t="s">
        <v>195</v>
      </c>
      <c r="B235" s="17" t="s">
        <v>37</v>
      </c>
      <c r="C235" s="16">
        <v>42758.690960648149</v>
      </c>
      <c r="D235" s="17" t="s">
        <v>5</v>
      </c>
      <c r="E235" s="17" t="s">
        <v>51</v>
      </c>
      <c r="F235" s="16">
        <v>42761.442175925928</v>
      </c>
      <c r="G235" s="16"/>
      <c r="H235" s="16"/>
      <c r="I235" s="11">
        <v>235</v>
      </c>
    </row>
    <row r="236" spans="1:9" x14ac:dyDescent="0.2">
      <c r="A236" s="17" t="s">
        <v>193</v>
      </c>
      <c r="B236" s="17" t="s">
        <v>65</v>
      </c>
      <c r="C236" s="16">
        <v>42760.494085648148</v>
      </c>
      <c r="D236" s="17" t="s">
        <v>5</v>
      </c>
      <c r="E236" s="17" t="s">
        <v>40</v>
      </c>
      <c r="F236" s="16">
        <v>42760.494131944448</v>
      </c>
      <c r="G236" s="16"/>
      <c r="H236" s="16"/>
      <c r="I236" s="11">
        <v>236</v>
      </c>
    </row>
    <row r="237" spans="1:9" x14ac:dyDescent="0.2">
      <c r="A237" s="17" t="s">
        <v>193</v>
      </c>
      <c r="B237" s="17" t="s">
        <v>65</v>
      </c>
      <c r="C237" s="16">
        <v>42760.494085648148</v>
      </c>
      <c r="D237" s="17" t="s">
        <v>5</v>
      </c>
      <c r="E237" s="17" t="s">
        <v>46</v>
      </c>
      <c r="F237" s="16">
        <v>42760.495347222219</v>
      </c>
      <c r="G237" s="16"/>
      <c r="H237" s="16"/>
      <c r="I237" s="11">
        <v>237</v>
      </c>
    </row>
    <row r="238" spans="1:9" x14ac:dyDescent="0.2">
      <c r="A238" s="17" t="s">
        <v>193</v>
      </c>
      <c r="B238" s="17" t="s">
        <v>65</v>
      </c>
      <c r="C238" s="16">
        <v>42760.494085648148</v>
      </c>
      <c r="D238" s="17" t="s">
        <v>6</v>
      </c>
      <c r="E238" s="17" t="s">
        <v>194</v>
      </c>
      <c r="F238" s="16">
        <v>42760.533854166664</v>
      </c>
      <c r="G238" s="16"/>
      <c r="H238" s="16"/>
      <c r="I238" s="11">
        <v>238</v>
      </c>
    </row>
    <row r="239" spans="1:9" x14ac:dyDescent="0.2">
      <c r="A239" s="17" t="s">
        <v>193</v>
      </c>
      <c r="B239" s="17" t="s">
        <v>65</v>
      </c>
      <c r="C239" s="16">
        <v>42760.494085648148</v>
      </c>
      <c r="D239" s="17" t="s">
        <v>5</v>
      </c>
      <c r="E239" s="17" t="s">
        <v>36</v>
      </c>
      <c r="F239" s="16">
        <v>42760.554224537038</v>
      </c>
      <c r="G239" s="16"/>
      <c r="H239" s="16"/>
      <c r="I239" s="11">
        <v>239</v>
      </c>
    </row>
    <row r="240" spans="1:9" x14ac:dyDescent="0.2">
      <c r="A240" s="17" t="s">
        <v>193</v>
      </c>
      <c r="B240" s="17" t="s">
        <v>65</v>
      </c>
      <c r="C240" s="16">
        <v>42760.494085648148</v>
      </c>
      <c r="D240" s="17" t="s">
        <v>5</v>
      </c>
      <c r="E240" s="17" t="s">
        <v>51</v>
      </c>
      <c r="F240" s="16">
        <v>42760.564375000002</v>
      </c>
      <c r="G240" s="16"/>
      <c r="H240" s="16"/>
      <c r="I240" s="11">
        <v>240</v>
      </c>
    </row>
    <row r="241" spans="1:9" x14ac:dyDescent="0.2">
      <c r="A241" s="17" t="s">
        <v>192</v>
      </c>
      <c r="B241" s="17" t="s">
        <v>65</v>
      </c>
      <c r="C241" s="16">
        <v>42769.390219907407</v>
      </c>
      <c r="D241" s="17" t="s">
        <v>5</v>
      </c>
      <c r="E241" s="17" t="s">
        <v>40</v>
      </c>
      <c r="F241" s="16">
        <v>42769.390347222223</v>
      </c>
      <c r="G241" s="16">
        <v>42776.5622337963</v>
      </c>
      <c r="H241" s="16"/>
      <c r="I241" s="11">
        <v>241</v>
      </c>
    </row>
    <row r="242" spans="1:9" x14ac:dyDescent="0.2">
      <c r="A242" s="17" t="s">
        <v>192</v>
      </c>
      <c r="B242" s="17" t="s">
        <v>65</v>
      </c>
      <c r="C242" s="16">
        <v>42769.390219907407</v>
      </c>
      <c r="D242" s="17" t="s">
        <v>5</v>
      </c>
      <c r="E242" s="17" t="s">
        <v>36</v>
      </c>
      <c r="F242" s="16">
        <v>42769.391446759262</v>
      </c>
      <c r="G242" s="16">
        <v>42776.5622337963</v>
      </c>
      <c r="H242" s="16"/>
      <c r="I242" s="11">
        <v>242</v>
      </c>
    </row>
    <row r="243" spans="1:9" x14ac:dyDescent="0.2">
      <c r="A243" s="17" t="s">
        <v>192</v>
      </c>
      <c r="B243" s="17" t="s">
        <v>65</v>
      </c>
      <c r="C243" s="16">
        <v>42769.390219907407</v>
      </c>
      <c r="D243" s="17" t="s">
        <v>6</v>
      </c>
      <c r="E243" s="17" t="s">
        <v>56</v>
      </c>
      <c r="F243" s="16">
        <v>42769.396238425928</v>
      </c>
      <c r="G243" s="16">
        <v>42776.5622337963</v>
      </c>
      <c r="H243" s="16"/>
      <c r="I243" s="11">
        <v>243</v>
      </c>
    </row>
    <row r="244" spans="1:9" x14ac:dyDescent="0.2">
      <c r="A244" s="17" t="s">
        <v>192</v>
      </c>
      <c r="B244" s="17" t="s">
        <v>65</v>
      </c>
      <c r="C244" s="16">
        <v>42769.390219907407</v>
      </c>
      <c r="D244" s="17" t="s">
        <v>5</v>
      </c>
      <c r="E244" s="17" t="s">
        <v>41</v>
      </c>
      <c r="F244" s="16">
        <v>42769.399212962962</v>
      </c>
      <c r="G244" s="16">
        <v>42776.5622337963</v>
      </c>
      <c r="H244" s="16"/>
      <c r="I244" s="11">
        <v>244</v>
      </c>
    </row>
    <row r="245" spans="1:9" x14ac:dyDescent="0.2">
      <c r="A245" s="17" t="s">
        <v>192</v>
      </c>
      <c r="B245" s="17" t="s">
        <v>65</v>
      </c>
      <c r="C245" s="16">
        <v>42769.390219907407</v>
      </c>
      <c r="D245" s="17" t="s">
        <v>6</v>
      </c>
      <c r="E245" s="17" t="s">
        <v>61</v>
      </c>
      <c r="F245" s="16">
        <v>42773.470671296294</v>
      </c>
      <c r="G245" s="16">
        <v>42776.5622337963</v>
      </c>
      <c r="H245" s="16"/>
      <c r="I245" s="11">
        <v>245</v>
      </c>
    </row>
    <row r="246" spans="1:9" x14ac:dyDescent="0.2">
      <c r="A246" s="17" t="s">
        <v>192</v>
      </c>
      <c r="B246" s="17" t="s">
        <v>65</v>
      </c>
      <c r="C246" s="16">
        <v>42769.390219907407</v>
      </c>
      <c r="D246" s="17" t="s">
        <v>5</v>
      </c>
      <c r="E246" s="17" t="s">
        <v>46</v>
      </c>
      <c r="F246" s="16">
        <v>42835.433182870373</v>
      </c>
      <c r="G246" s="16">
        <v>42776.5622337963</v>
      </c>
      <c r="H246" s="16"/>
      <c r="I246" s="11">
        <v>246</v>
      </c>
    </row>
    <row r="247" spans="1:9" x14ac:dyDescent="0.2">
      <c r="A247" s="17" t="s">
        <v>192</v>
      </c>
      <c r="B247" s="17" t="s">
        <v>65</v>
      </c>
      <c r="C247" s="16">
        <v>42769.390219907407</v>
      </c>
      <c r="D247" s="17" t="s">
        <v>6</v>
      </c>
      <c r="E247" s="17" t="s">
        <v>44</v>
      </c>
      <c r="F247" s="16">
        <v>42835.435995370368</v>
      </c>
      <c r="G247" s="16">
        <v>42776.5622337963</v>
      </c>
      <c r="H247" s="16"/>
      <c r="I247" s="11">
        <v>247</v>
      </c>
    </row>
    <row r="248" spans="1:9" x14ac:dyDescent="0.2">
      <c r="A248" s="17" t="s">
        <v>192</v>
      </c>
      <c r="B248" s="17" t="s">
        <v>65</v>
      </c>
      <c r="C248" s="16">
        <v>42769.390219907407</v>
      </c>
      <c r="D248" s="17" t="s">
        <v>5</v>
      </c>
      <c r="E248" s="17" t="s">
        <v>153</v>
      </c>
      <c r="F248" s="16">
        <v>42859.351979166669</v>
      </c>
      <c r="G248" s="16">
        <v>42776.5622337963</v>
      </c>
      <c r="H248" s="16"/>
      <c r="I248" s="11">
        <v>248</v>
      </c>
    </row>
    <row r="249" spans="1:9" ht="25.5" x14ac:dyDescent="0.2">
      <c r="A249" s="17" t="s">
        <v>192</v>
      </c>
      <c r="B249" s="17" t="s">
        <v>65</v>
      </c>
      <c r="C249" s="16">
        <v>42769.390219907407</v>
      </c>
      <c r="D249" s="17" t="s">
        <v>6</v>
      </c>
      <c r="E249" s="17" t="s">
        <v>151</v>
      </c>
      <c r="F249" s="16">
        <v>42859.351979166669</v>
      </c>
      <c r="G249" s="16">
        <v>42776.5622337963</v>
      </c>
      <c r="H249" s="16"/>
      <c r="I249" s="11">
        <v>249</v>
      </c>
    </row>
    <row r="250" spans="1:9" x14ac:dyDescent="0.2">
      <c r="A250" s="17" t="s">
        <v>191</v>
      </c>
      <c r="B250" s="17" t="s">
        <v>37</v>
      </c>
      <c r="C250" s="16">
        <v>42772.452638888892</v>
      </c>
      <c r="D250" s="17" t="s">
        <v>5</v>
      </c>
      <c r="E250" s="17" t="s">
        <v>40</v>
      </c>
      <c r="F250" s="16">
        <v>42772.452685185184</v>
      </c>
      <c r="G250" s="16"/>
      <c r="H250" s="16"/>
      <c r="I250" s="11">
        <v>250</v>
      </c>
    </row>
    <row r="251" spans="1:9" x14ac:dyDescent="0.2">
      <c r="A251" s="17" t="s">
        <v>191</v>
      </c>
      <c r="B251" s="17" t="s">
        <v>37</v>
      </c>
      <c r="C251" s="16">
        <v>42772.452638888892</v>
      </c>
      <c r="D251" s="17" t="s">
        <v>5</v>
      </c>
      <c r="E251" s="17" t="s">
        <v>36</v>
      </c>
      <c r="F251" s="16">
        <v>42772.452951388892</v>
      </c>
      <c r="G251" s="16"/>
      <c r="H251" s="16"/>
      <c r="I251" s="11">
        <v>251</v>
      </c>
    </row>
    <row r="252" spans="1:9" x14ac:dyDescent="0.2">
      <c r="A252" s="17" t="s">
        <v>191</v>
      </c>
      <c r="B252" s="17" t="s">
        <v>37</v>
      </c>
      <c r="C252" s="16">
        <v>42772.452638888892</v>
      </c>
      <c r="D252" s="17" t="s">
        <v>6</v>
      </c>
      <c r="E252" s="17" t="s">
        <v>47</v>
      </c>
      <c r="F252" s="16">
        <v>42772.539490740739</v>
      </c>
      <c r="G252" s="16"/>
      <c r="H252" s="16"/>
      <c r="I252" s="11">
        <v>252</v>
      </c>
    </row>
    <row r="253" spans="1:9" x14ac:dyDescent="0.2">
      <c r="A253" s="17" t="s">
        <v>191</v>
      </c>
      <c r="B253" s="17" t="s">
        <v>37</v>
      </c>
      <c r="C253" s="16">
        <v>42772.452638888892</v>
      </c>
      <c r="D253" s="17" t="s">
        <v>5</v>
      </c>
      <c r="E253" s="17" t="s">
        <v>51</v>
      </c>
      <c r="F253" s="16">
        <v>42772.570208333331</v>
      </c>
      <c r="G253" s="16"/>
      <c r="H253" s="16"/>
      <c r="I253" s="11">
        <v>253</v>
      </c>
    </row>
    <row r="254" spans="1:9" x14ac:dyDescent="0.2">
      <c r="A254" s="17" t="s">
        <v>190</v>
      </c>
      <c r="B254" s="17" t="s">
        <v>37</v>
      </c>
      <c r="C254" s="16">
        <v>42773.63957175926</v>
      </c>
      <c r="D254" s="17" t="s">
        <v>5</v>
      </c>
      <c r="E254" s="17" t="s">
        <v>40</v>
      </c>
      <c r="F254" s="16">
        <v>42773.639664351853</v>
      </c>
      <c r="G254" s="16"/>
      <c r="H254" s="16"/>
      <c r="I254" s="11">
        <v>254</v>
      </c>
    </row>
    <row r="255" spans="1:9" x14ac:dyDescent="0.2">
      <c r="A255" s="17" t="s">
        <v>190</v>
      </c>
      <c r="B255" s="17" t="s">
        <v>37</v>
      </c>
      <c r="C255" s="16">
        <v>42773.63957175926</v>
      </c>
      <c r="D255" s="17" t="s">
        <v>5</v>
      </c>
      <c r="E255" s="17" t="s">
        <v>51</v>
      </c>
      <c r="F255" s="16">
        <v>42773.649305555555</v>
      </c>
      <c r="G255" s="16"/>
      <c r="H255" s="16"/>
      <c r="I255" s="11">
        <v>255</v>
      </c>
    </row>
    <row r="256" spans="1:9" x14ac:dyDescent="0.2">
      <c r="A256" s="17" t="s">
        <v>189</v>
      </c>
      <c r="B256" s="17" t="s">
        <v>37</v>
      </c>
      <c r="C256" s="16">
        <v>42774.359363425923</v>
      </c>
      <c r="D256" s="17" t="s">
        <v>5</v>
      </c>
      <c r="E256" s="17" t="s">
        <v>40</v>
      </c>
      <c r="F256" s="16">
        <v>42774.359375</v>
      </c>
      <c r="G256" s="16"/>
      <c r="H256" s="16"/>
      <c r="I256" s="11">
        <v>256</v>
      </c>
    </row>
    <row r="257" spans="1:9" x14ac:dyDescent="0.2">
      <c r="A257" s="17" t="s">
        <v>189</v>
      </c>
      <c r="B257" s="17" t="s">
        <v>37</v>
      </c>
      <c r="C257" s="16">
        <v>42774.359363425923</v>
      </c>
      <c r="D257" s="17" t="s">
        <v>5</v>
      </c>
      <c r="E257" s="17" t="s">
        <v>36</v>
      </c>
      <c r="F257" s="16">
        <v>42774.367106481484</v>
      </c>
      <c r="G257" s="16"/>
      <c r="H257" s="16"/>
      <c r="I257" s="11">
        <v>257</v>
      </c>
    </row>
    <row r="258" spans="1:9" x14ac:dyDescent="0.2">
      <c r="A258" s="17" t="s">
        <v>189</v>
      </c>
      <c r="B258" s="17" t="s">
        <v>37</v>
      </c>
      <c r="C258" s="16">
        <v>42774.359363425923</v>
      </c>
      <c r="D258" s="17" t="s">
        <v>6</v>
      </c>
      <c r="E258" s="17" t="s">
        <v>155</v>
      </c>
      <c r="F258" s="16">
        <v>42774.367106481484</v>
      </c>
      <c r="G258" s="16"/>
      <c r="H258" s="16"/>
      <c r="I258" s="11">
        <v>258</v>
      </c>
    </row>
    <row r="259" spans="1:9" x14ac:dyDescent="0.2">
      <c r="A259" s="17" t="s">
        <v>189</v>
      </c>
      <c r="B259" s="17" t="s">
        <v>37</v>
      </c>
      <c r="C259" s="16">
        <v>42774.359363425923</v>
      </c>
      <c r="D259" s="17" t="s">
        <v>5</v>
      </c>
      <c r="E259" s="17" t="s">
        <v>51</v>
      </c>
      <c r="F259" s="16">
        <v>42774.384317129632</v>
      </c>
      <c r="G259" s="16"/>
      <c r="H259" s="16"/>
      <c r="I259" s="11">
        <v>259</v>
      </c>
    </row>
    <row r="260" spans="1:9" x14ac:dyDescent="0.2">
      <c r="A260" s="17" t="s">
        <v>188</v>
      </c>
      <c r="B260" s="17" t="s">
        <v>37</v>
      </c>
      <c r="C260" s="16">
        <v>42782.332835648151</v>
      </c>
      <c r="D260" s="17" t="s">
        <v>5</v>
      </c>
      <c r="E260" s="17" t="s">
        <v>40</v>
      </c>
      <c r="F260" s="16">
        <v>42782.332905092589</v>
      </c>
      <c r="G260" s="16"/>
      <c r="H260" s="16"/>
      <c r="I260" s="11">
        <v>260</v>
      </c>
    </row>
    <row r="261" spans="1:9" x14ac:dyDescent="0.2">
      <c r="A261" s="17" t="s">
        <v>188</v>
      </c>
      <c r="B261" s="17" t="s">
        <v>37</v>
      </c>
      <c r="C261" s="16">
        <v>42782.332835648151</v>
      </c>
      <c r="D261" s="17" t="s">
        <v>5</v>
      </c>
      <c r="E261" s="17" t="s">
        <v>46</v>
      </c>
      <c r="F261" s="16">
        <v>42782.333807870367</v>
      </c>
      <c r="G261" s="16"/>
      <c r="H261" s="16"/>
      <c r="I261" s="11">
        <v>261</v>
      </c>
    </row>
    <row r="262" spans="1:9" x14ac:dyDescent="0.2">
      <c r="A262" s="17" t="s">
        <v>188</v>
      </c>
      <c r="B262" s="17" t="s">
        <v>37</v>
      </c>
      <c r="C262" s="16">
        <v>42782.332835648151</v>
      </c>
      <c r="D262" s="17" t="s">
        <v>6</v>
      </c>
      <c r="E262" s="17" t="s">
        <v>187</v>
      </c>
      <c r="F262" s="16">
        <v>42782.353032407409</v>
      </c>
      <c r="G262" s="16"/>
      <c r="H262" s="16"/>
      <c r="I262" s="11">
        <v>262</v>
      </c>
    </row>
    <row r="263" spans="1:9" x14ac:dyDescent="0.2">
      <c r="A263" s="17" t="s">
        <v>188</v>
      </c>
      <c r="B263" s="17" t="s">
        <v>37</v>
      </c>
      <c r="C263" s="16">
        <v>42782.332835648151</v>
      </c>
      <c r="D263" s="17" t="s">
        <v>6</v>
      </c>
      <c r="E263" s="17" t="s">
        <v>107</v>
      </c>
      <c r="F263" s="16">
        <v>42837.477500000001</v>
      </c>
      <c r="G263" s="16"/>
      <c r="H263" s="16"/>
      <c r="I263" s="11">
        <v>263</v>
      </c>
    </row>
    <row r="264" spans="1:9" x14ac:dyDescent="0.2">
      <c r="A264" s="17" t="s">
        <v>188</v>
      </c>
      <c r="B264" s="17" t="s">
        <v>37</v>
      </c>
      <c r="C264" s="16">
        <v>42782.332835648151</v>
      </c>
      <c r="D264" s="17" t="s">
        <v>6</v>
      </c>
      <c r="E264" s="17" t="s">
        <v>82</v>
      </c>
      <c r="F264" s="16">
        <v>42859.689432870371</v>
      </c>
      <c r="G264" s="16"/>
      <c r="H264" s="16"/>
      <c r="I264" s="11">
        <v>264</v>
      </c>
    </row>
    <row r="265" spans="1:9" x14ac:dyDescent="0.2">
      <c r="A265" s="17" t="s">
        <v>188</v>
      </c>
      <c r="B265" s="17" t="s">
        <v>37</v>
      </c>
      <c r="C265" s="16">
        <v>42782.332835648151</v>
      </c>
      <c r="D265" s="17" t="s">
        <v>6</v>
      </c>
      <c r="E265" s="17" t="s">
        <v>107</v>
      </c>
      <c r="F265" s="16">
        <v>42885.706747685188</v>
      </c>
      <c r="G265" s="16"/>
      <c r="H265" s="16"/>
      <c r="I265" s="11">
        <v>265</v>
      </c>
    </row>
    <row r="266" spans="1:9" x14ac:dyDescent="0.2">
      <c r="A266" s="17" t="s">
        <v>186</v>
      </c>
      <c r="B266" s="17" t="s">
        <v>37</v>
      </c>
      <c r="C266" s="16">
        <v>42802.447442129633</v>
      </c>
      <c r="D266" s="17" t="s">
        <v>5</v>
      </c>
      <c r="E266" s="17" t="s">
        <v>40</v>
      </c>
      <c r="F266" s="16">
        <v>42802.447476851848</v>
      </c>
      <c r="G266" s="16"/>
      <c r="H266" s="16"/>
      <c r="I266" s="11">
        <v>266</v>
      </c>
    </row>
    <row r="267" spans="1:9" x14ac:dyDescent="0.2">
      <c r="A267" s="17" t="s">
        <v>186</v>
      </c>
      <c r="B267" s="17" t="s">
        <v>37</v>
      </c>
      <c r="C267" s="16">
        <v>42802.447442129633</v>
      </c>
      <c r="D267" s="17" t="s">
        <v>5</v>
      </c>
      <c r="E267" s="17" t="s">
        <v>46</v>
      </c>
      <c r="F267" s="16">
        <v>42802.452476851853</v>
      </c>
      <c r="G267" s="16"/>
      <c r="H267" s="16"/>
      <c r="I267" s="11">
        <v>267</v>
      </c>
    </row>
    <row r="268" spans="1:9" x14ac:dyDescent="0.2">
      <c r="A268" s="17" t="s">
        <v>186</v>
      </c>
      <c r="B268" s="17" t="s">
        <v>37</v>
      </c>
      <c r="C268" s="16">
        <v>42802.447442129633</v>
      </c>
      <c r="D268" s="17" t="s">
        <v>6</v>
      </c>
      <c r="E268" s="17" t="s">
        <v>187</v>
      </c>
      <c r="F268" s="16">
        <v>42802.50885416667</v>
      </c>
      <c r="G268" s="16"/>
      <c r="H268" s="16"/>
      <c r="I268" s="11">
        <v>268</v>
      </c>
    </row>
    <row r="269" spans="1:9" x14ac:dyDescent="0.2">
      <c r="A269" s="17" t="s">
        <v>186</v>
      </c>
      <c r="B269" s="17" t="s">
        <v>37</v>
      </c>
      <c r="C269" s="16">
        <v>42802.447442129633</v>
      </c>
      <c r="D269" s="17" t="s">
        <v>5</v>
      </c>
      <c r="E269" s="17" t="s">
        <v>41</v>
      </c>
      <c r="F269" s="16">
        <v>42804.525196759256</v>
      </c>
      <c r="G269" s="16"/>
      <c r="H269" s="16"/>
      <c r="I269" s="11">
        <v>269</v>
      </c>
    </row>
    <row r="270" spans="1:9" x14ac:dyDescent="0.2">
      <c r="A270" s="17" t="s">
        <v>186</v>
      </c>
      <c r="B270" s="17" t="s">
        <v>37</v>
      </c>
      <c r="C270" s="16">
        <v>42802.447442129633</v>
      </c>
      <c r="D270" s="17" t="s">
        <v>6</v>
      </c>
      <c r="E270" s="17" t="s">
        <v>61</v>
      </c>
      <c r="F270" s="16">
        <v>42807.40121527778</v>
      </c>
      <c r="G270" s="16"/>
      <c r="H270" s="16"/>
      <c r="I270" s="11">
        <v>270</v>
      </c>
    </row>
    <row r="271" spans="1:9" x14ac:dyDescent="0.2">
      <c r="A271" s="17" t="s">
        <v>185</v>
      </c>
      <c r="B271" s="17" t="s">
        <v>65</v>
      </c>
      <c r="C271" s="16">
        <v>42804.538483796299</v>
      </c>
      <c r="D271" s="17" t="s">
        <v>5</v>
      </c>
      <c r="E271" s="17" t="s">
        <v>40</v>
      </c>
      <c r="F271" s="16">
        <v>42804.538530092592</v>
      </c>
      <c r="G271" s="16"/>
      <c r="H271" s="16"/>
      <c r="I271" s="11">
        <v>271</v>
      </c>
    </row>
    <row r="272" spans="1:9" x14ac:dyDescent="0.2">
      <c r="A272" s="17" t="s">
        <v>185</v>
      </c>
      <c r="B272" s="17" t="s">
        <v>65</v>
      </c>
      <c r="C272" s="16">
        <v>42804.538483796299</v>
      </c>
      <c r="D272" s="17" t="s">
        <v>5</v>
      </c>
      <c r="E272" s="17" t="s">
        <v>36</v>
      </c>
      <c r="F272" s="16">
        <v>42804.538645833331</v>
      </c>
      <c r="G272" s="16"/>
      <c r="H272" s="16"/>
      <c r="I272" s="11">
        <v>272</v>
      </c>
    </row>
    <row r="273" spans="1:9" x14ac:dyDescent="0.2">
      <c r="A273" s="17" t="s">
        <v>185</v>
      </c>
      <c r="B273" s="17" t="s">
        <v>65</v>
      </c>
      <c r="C273" s="16">
        <v>42804.538483796299</v>
      </c>
      <c r="D273" s="17" t="s">
        <v>5</v>
      </c>
      <c r="E273" s="17" t="s">
        <v>41</v>
      </c>
      <c r="F273" s="16">
        <v>42804.624386574076</v>
      </c>
      <c r="G273" s="16"/>
      <c r="H273" s="16"/>
      <c r="I273" s="11">
        <v>273</v>
      </c>
    </row>
    <row r="274" spans="1:9" x14ac:dyDescent="0.2">
      <c r="A274" s="17" t="s">
        <v>185</v>
      </c>
      <c r="B274" s="17" t="s">
        <v>65</v>
      </c>
      <c r="C274" s="16">
        <v>42804.538483796299</v>
      </c>
      <c r="D274" s="17" t="s">
        <v>6</v>
      </c>
      <c r="E274" s="17" t="s">
        <v>61</v>
      </c>
      <c r="F274" s="16">
        <v>42807.485011574077</v>
      </c>
      <c r="G274" s="16"/>
      <c r="H274" s="16"/>
      <c r="I274" s="11">
        <v>274</v>
      </c>
    </row>
    <row r="275" spans="1:9" x14ac:dyDescent="0.2">
      <c r="A275" s="17" t="s">
        <v>185</v>
      </c>
      <c r="B275" s="17" t="s">
        <v>65</v>
      </c>
      <c r="C275" s="16">
        <v>42804.538483796299</v>
      </c>
      <c r="D275" s="17" t="s">
        <v>5</v>
      </c>
      <c r="E275" s="17" t="s">
        <v>46</v>
      </c>
      <c r="F275" s="16">
        <v>42835.441550925927</v>
      </c>
      <c r="G275" s="16"/>
      <c r="H275" s="16"/>
      <c r="I275" s="11">
        <v>275</v>
      </c>
    </row>
    <row r="276" spans="1:9" x14ac:dyDescent="0.2">
      <c r="A276" s="17" t="s">
        <v>185</v>
      </c>
      <c r="B276" s="17" t="s">
        <v>65</v>
      </c>
      <c r="C276" s="16">
        <v>42804.538483796299</v>
      </c>
      <c r="D276" s="17" t="s">
        <v>6</v>
      </c>
      <c r="E276" s="17" t="s">
        <v>49</v>
      </c>
      <c r="F276" s="16">
        <v>42835.490324074075</v>
      </c>
      <c r="G276" s="16"/>
      <c r="H276" s="16"/>
      <c r="I276" s="11">
        <v>276</v>
      </c>
    </row>
    <row r="277" spans="1:9" x14ac:dyDescent="0.2">
      <c r="A277" s="17" t="s">
        <v>185</v>
      </c>
      <c r="B277" s="17" t="s">
        <v>65</v>
      </c>
      <c r="C277" s="16">
        <v>42804.538483796299</v>
      </c>
      <c r="D277" s="17" t="s">
        <v>5</v>
      </c>
      <c r="E277" s="17" t="s">
        <v>41</v>
      </c>
      <c r="F277" s="16">
        <v>42846.545312499999</v>
      </c>
      <c r="G277" s="16"/>
      <c r="H277" s="16"/>
      <c r="I277" s="11">
        <v>277</v>
      </c>
    </row>
    <row r="278" spans="1:9" x14ac:dyDescent="0.2">
      <c r="A278" s="17" t="s">
        <v>185</v>
      </c>
      <c r="B278" s="17" t="s">
        <v>65</v>
      </c>
      <c r="C278" s="16">
        <v>42804.538483796299</v>
      </c>
      <c r="D278" s="17" t="s">
        <v>5</v>
      </c>
      <c r="E278" s="17" t="s">
        <v>46</v>
      </c>
      <c r="F278" s="16">
        <v>42849.451064814813</v>
      </c>
      <c r="G278" s="16"/>
      <c r="H278" s="16"/>
      <c r="I278" s="11">
        <v>278</v>
      </c>
    </row>
    <row r="279" spans="1:9" x14ac:dyDescent="0.2">
      <c r="A279" s="17" t="s">
        <v>185</v>
      </c>
      <c r="B279" s="17" t="s">
        <v>65</v>
      </c>
      <c r="C279" s="16">
        <v>42804.538483796299</v>
      </c>
      <c r="D279" s="17" t="s">
        <v>5</v>
      </c>
      <c r="E279" s="17" t="s">
        <v>153</v>
      </c>
      <c r="F279" s="16">
        <v>42849.560810185183</v>
      </c>
      <c r="G279" s="16"/>
      <c r="H279" s="16"/>
      <c r="I279" s="11">
        <v>279</v>
      </c>
    </row>
    <row r="280" spans="1:9" ht="25.5" x14ac:dyDescent="0.2">
      <c r="A280" s="17" t="s">
        <v>185</v>
      </c>
      <c r="B280" s="17" t="s">
        <v>65</v>
      </c>
      <c r="C280" s="16">
        <v>42804.538483796299</v>
      </c>
      <c r="D280" s="17" t="s">
        <v>6</v>
      </c>
      <c r="E280" s="17" t="s">
        <v>151</v>
      </c>
      <c r="F280" s="16">
        <v>42849.560810185183</v>
      </c>
      <c r="G280" s="16"/>
      <c r="H280" s="16"/>
      <c r="I280" s="11">
        <v>280</v>
      </c>
    </row>
    <row r="281" spans="1:9" x14ac:dyDescent="0.2">
      <c r="A281" s="17" t="s">
        <v>184</v>
      </c>
      <c r="B281" s="17" t="s">
        <v>37</v>
      </c>
      <c r="C281" s="16">
        <v>42823.55201388889</v>
      </c>
      <c r="D281" s="17" t="s">
        <v>5</v>
      </c>
      <c r="E281" s="17" t="s">
        <v>40</v>
      </c>
      <c r="F281" s="16">
        <v>42823.552094907405</v>
      </c>
      <c r="G281" s="16">
        <v>42824.44090277778</v>
      </c>
      <c r="H281" s="16"/>
      <c r="I281" s="11">
        <v>281</v>
      </c>
    </row>
    <row r="282" spans="1:9" x14ac:dyDescent="0.2">
      <c r="A282" s="17" t="s">
        <v>184</v>
      </c>
      <c r="B282" s="17" t="s">
        <v>37</v>
      </c>
      <c r="C282" s="16">
        <v>42823.55201388889</v>
      </c>
      <c r="D282" s="17" t="s">
        <v>5</v>
      </c>
      <c r="E282" s="17" t="s">
        <v>36</v>
      </c>
      <c r="F282" s="16">
        <v>42823.563599537039</v>
      </c>
      <c r="G282" s="16">
        <v>42824.44090277778</v>
      </c>
      <c r="H282" s="16"/>
      <c r="I282" s="11">
        <v>282</v>
      </c>
    </row>
    <row r="283" spans="1:9" x14ac:dyDescent="0.2">
      <c r="A283" s="17" t="s">
        <v>184</v>
      </c>
      <c r="B283" s="17" t="s">
        <v>37</v>
      </c>
      <c r="C283" s="16">
        <v>42823.55201388889</v>
      </c>
      <c r="D283" s="17" t="s">
        <v>6</v>
      </c>
      <c r="E283" s="17" t="s">
        <v>74</v>
      </c>
      <c r="F283" s="16">
        <v>42823.573923611111</v>
      </c>
      <c r="G283" s="16">
        <v>42824.44090277778</v>
      </c>
      <c r="H283" s="16"/>
      <c r="I283" s="11">
        <v>283</v>
      </c>
    </row>
    <row r="284" spans="1:9" x14ac:dyDescent="0.2">
      <c r="A284" s="17" t="s">
        <v>184</v>
      </c>
      <c r="B284" s="17" t="s">
        <v>37</v>
      </c>
      <c r="C284" s="16">
        <v>42823.55201388889</v>
      </c>
      <c r="D284" s="17" t="s">
        <v>5</v>
      </c>
      <c r="E284" s="17" t="s">
        <v>46</v>
      </c>
      <c r="F284" s="16">
        <v>42825.372002314813</v>
      </c>
      <c r="G284" s="16">
        <v>42824.44090277778</v>
      </c>
      <c r="H284" s="16"/>
      <c r="I284" s="11">
        <v>284</v>
      </c>
    </row>
    <row r="285" spans="1:9" x14ac:dyDescent="0.2">
      <c r="A285" s="17" t="s">
        <v>184</v>
      </c>
      <c r="B285" s="17" t="s">
        <v>37</v>
      </c>
      <c r="C285" s="16">
        <v>42823.55201388889</v>
      </c>
      <c r="D285" s="17" t="s">
        <v>5</v>
      </c>
      <c r="E285" s="17" t="s">
        <v>51</v>
      </c>
      <c r="F285" s="16">
        <v>42825.374490740738</v>
      </c>
      <c r="G285" s="16">
        <v>42824.44090277778</v>
      </c>
      <c r="H285" s="16"/>
      <c r="I285" s="11">
        <v>285</v>
      </c>
    </row>
    <row r="286" spans="1:9" x14ac:dyDescent="0.2">
      <c r="A286" s="17" t="s">
        <v>183</v>
      </c>
      <c r="B286" s="17" t="s">
        <v>37</v>
      </c>
      <c r="C286" s="16">
        <v>42824.542025462964</v>
      </c>
      <c r="D286" s="17" t="s">
        <v>5</v>
      </c>
      <c r="E286" s="17" t="s">
        <v>40</v>
      </c>
      <c r="F286" s="16">
        <v>42824.542025462964</v>
      </c>
      <c r="G286" s="16"/>
      <c r="H286" s="16"/>
      <c r="I286" s="11">
        <v>286</v>
      </c>
    </row>
    <row r="287" spans="1:9" x14ac:dyDescent="0.2">
      <c r="A287" s="17" t="s">
        <v>183</v>
      </c>
      <c r="B287" s="17" t="s">
        <v>37</v>
      </c>
      <c r="C287" s="16">
        <v>42824.542025462964</v>
      </c>
      <c r="D287" s="17" t="s">
        <v>5</v>
      </c>
      <c r="E287" s="17" t="s">
        <v>46</v>
      </c>
      <c r="F287" s="16">
        <v>42824.542604166665</v>
      </c>
      <c r="G287" s="16"/>
      <c r="H287" s="16"/>
      <c r="I287" s="11">
        <v>287</v>
      </c>
    </row>
    <row r="288" spans="1:9" x14ac:dyDescent="0.2">
      <c r="A288" s="17" t="s">
        <v>183</v>
      </c>
      <c r="B288" s="17" t="s">
        <v>37</v>
      </c>
      <c r="C288" s="16">
        <v>42824.542025462964</v>
      </c>
      <c r="D288" s="17" t="s">
        <v>6</v>
      </c>
      <c r="E288" s="17" t="s">
        <v>44</v>
      </c>
      <c r="F288" s="16">
        <v>42824.544502314813</v>
      </c>
      <c r="G288" s="16"/>
      <c r="H288" s="16"/>
      <c r="I288" s="11">
        <v>288</v>
      </c>
    </row>
    <row r="289" spans="1:9" x14ac:dyDescent="0.2">
      <c r="A289" s="17" t="s">
        <v>183</v>
      </c>
      <c r="B289" s="17" t="s">
        <v>37</v>
      </c>
      <c r="C289" s="16">
        <v>42824.542025462964</v>
      </c>
      <c r="D289" s="17" t="s">
        <v>5</v>
      </c>
      <c r="E289" s="17" t="s">
        <v>51</v>
      </c>
      <c r="F289" s="16">
        <v>42824.544745370367</v>
      </c>
      <c r="G289" s="16"/>
      <c r="H289" s="16"/>
      <c r="I289" s="11">
        <v>289</v>
      </c>
    </row>
    <row r="290" spans="1:9" x14ac:dyDescent="0.2">
      <c r="A290" s="17" t="s">
        <v>182</v>
      </c>
      <c r="B290" s="17" t="s">
        <v>37</v>
      </c>
      <c r="C290" s="16">
        <v>42824.563379629632</v>
      </c>
      <c r="D290" s="17" t="s">
        <v>5</v>
      </c>
      <c r="E290" s="17" t="s">
        <v>40</v>
      </c>
      <c r="F290" s="16">
        <v>42824.563425925924</v>
      </c>
      <c r="G290" s="16"/>
      <c r="H290" s="16"/>
      <c r="I290" s="11">
        <v>290</v>
      </c>
    </row>
    <row r="291" spans="1:9" x14ac:dyDescent="0.2">
      <c r="A291" s="17" t="s">
        <v>182</v>
      </c>
      <c r="B291" s="17" t="s">
        <v>37</v>
      </c>
      <c r="C291" s="16">
        <v>42824.563379629632</v>
      </c>
      <c r="D291" s="17" t="s">
        <v>5</v>
      </c>
      <c r="E291" s="17" t="s">
        <v>41</v>
      </c>
      <c r="F291" s="16">
        <v>42824.566180555557</v>
      </c>
      <c r="G291" s="16"/>
      <c r="H291" s="16"/>
      <c r="I291" s="11">
        <v>291</v>
      </c>
    </row>
    <row r="292" spans="1:9" x14ac:dyDescent="0.2">
      <c r="A292" s="17" t="s">
        <v>182</v>
      </c>
      <c r="B292" s="17" t="s">
        <v>37</v>
      </c>
      <c r="C292" s="16">
        <v>42824.563379629632</v>
      </c>
      <c r="D292" s="17" t="s">
        <v>6</v>
      </c>
      <c r="E292" s="17" t="s">
        <v>61</v>
      </c>
      <c r="F292" s="16">
        <v>42835.480497685188</v>
      </c>
      <c r="G292" s="16"/>
      <c r="H292" s="16"/>
      <c r="I292" s="11">
        <v>292</v>
      </c>
    </row>
    <row r="293" spans="1:9" x14ac:dyDescent="0.2">
      <c r="A293" s="17" t="s">
        <v>181</v>
      </c>
      <c r="B293" s="17" t="s">
        <v>65</v>
      </c>
      <c r="C293" s="16">
        <v>42825.49732638889</v>
      </c>
      <c r="D293" s="17" t="s">
        <v>5</v>
      </c>
      <c r="E293" s="17" t="s">
        <v>40</v>
      </c>
      <c r="F293" s="16">
        <v>42825.497361111113</v>
      </c>
      <c r="G293" s="16">
        <v>42852.495868055557</v>
      </c>
      <c r="H293" s="16"/>
      <c r="I293" s="11">
        <v>293</v>
      </c>
    </row>
    <row r="294" spans="1:9" x14ac:dyDescent="0.2">
      <c r="A294" s="17" t="s">
        <v>181</v>
      </c>
      <c r="B294" s="17" t="s">
        <v>65</v>
      </c>
      <c r="C294" s="16">
        <v>42825.49732638889</v>
      </c>
      <c r="D294" s="17" t="s">
        <v>5</v>
      </c>
      <c r="E294" s="17" t="s">
        <v>36</v>
      </c>
      <c r="F294" s="16">
        <v>42825.505208333336</v>
      </c>
      <c r="G294" s="16">
        <v>42852.495868055557</v>
      </c>
      <c r="H294" s="16"/>
      <c r="I294" s="11">
        <v>294</v>
      </c>
    </row>
    <row r="295" spans="1:9" x14ac:dyDescent="0.2">
      <c r="A295" s="17" t="s">
        <v>181</v>
      </c>
      <c r="B295" s="17" t="s">
        <v>65</v>
      </c>
      <c r="C295" s="16">
        <v>42825.49732638889</v>
      </c>
      <c r="D295" s="17" t="s">
        <v>6</v>
      </c>
      <c r="E295" s="17" t="s">
        <v>92</v>
      </c>
      <c r="F295" s="16">
        <v>42825.505208333336</v>
      </c>
      <c r="G295" s="16">
        <v>42852.495868055557</v>
      </c>
      <c r="H295" s="16"/>
      <c r="I295" s="11">
        <v>295</v>
      </c>
    </row>
    <row r="296" spans="1:9" x14ac:dyDescent="0.2">
      <c r="A296" s="17" t="s">
        <v>181</v>
      </c>
      <c r="B296" s="17" t="s">
        <v>65</v>
      </c>
      <c r="C296" s="16">
        <v>42825.49732638889</v>
      </c>
      <c r="D296" s="17" t="s">
        <v>5</v>
      </c>
      <c r="E296" s="17" t="s">
        <v>46</v>
      </c>
      <c r="F296" s="16">
        <v>42828.742997685185</v>
      </c>
      <c r="G296" s="16">
        <v>42852.495868055557</v>
      </c>
      <c r="H296" s="16"/>
      <c r="I296" s="11">
        <v>296</v>
      </c>
    </row>
    <row r="297" spans="1:9" x14ac:dyDescent="0.2">
      <c r="A297" s="17" t="s">
        <v>181</v>
      </c>
      <c r="B297" s="17" t="s">
        <v>65</v>
      </c>
      <c r="C297" s="16">
        <v>42825.49732638889</v>
      </c>
      <c r="D297" s="17" t="s">
        <v>6</v>
      </c>
      <c r="E297" s="17" t="s">
        <v>44</v>
      </c>
      <c r="F297" s="16">
        <v>42828.996423611112</v>
      </c>
      <c r="G297" s="16">
        <v>42852.495868055557</v>
      </c>
      <c r="H297" s="16"/>
      <c r="I297" s="11">
        <v>297</v>
      </c>
    </row>
    <row r="298" spans="1:9" x14ac:dyDescent="0.2">
      <c r="A298" s="17" t="s">
        <v>180</v>
      </c>
      <c r="B298" s="17" t="s">
        <v>37</v>
      </c>
      <c r="C298" s="16">
        <v>42825.659317129626</v>
      </c>
      <c r="D298" s="17" t="s">
        <v>5</v>
      </c>
      <c r="E298" s="17" t="s">
        <v>40</v>
      </c>
      <c r="F298" s="16">
        <v>42825.659351851849</v>
      </c>
      <c r="G298" s="16"/>
      <c r="H298" s="16"/>
      <c r="I298" s="11">
        <v>298</v>
      </c>
    </row>
    <row r="299" spans="1:9" x14ac:dyDescent="0.2">
      <c r="A299" s="17" t="s">
        <v>180</v>
      </c>
      <c r="B299" s="17" t="s">
        <v>37</v>
      </c>
      <c r="C299" s="16">
        <v>42825.659317129626</v>
      </c>
      <c r="D299" s="17" t="s">
        <v>5</v>
      </c>
      <c r="E299" s="17" t="s">
        <v>36</v>
      </c>
      <c r="F299" s="16">
        <v>42825.663356481484</v>
      </c>
      <c r="G299" s="16"/>
      <c r="H299" s="16"/>
      <c r="I299" s="11">
        <v>299</v>
      </c>
    </row>
    <row r="300" spans="1:9" x14ac:dyDescent="0.2">
      <c r="A300" s="17" t="s">
        <v>180</v>
      </c>
      <c r="B300" s="17" t="s">
        <v>37</v>
      </c>
      <c r="C300" s="16">
        <v>42825.659317129626</v>
      </c>
      <c r="D300" s="17" t="s">
        <v>6</v>
      </c>
      <c r="E300" s="17" t="s">
        <v>56</v>
      </c>
      <c r="F300" s="16">
        <v>42825.663356481484</v>
      </c>
      <c r="G300" s="16"/>
      <c r="H300" s="16"/>
      <c r="I300" s="11">
        <v>300</v>
      </c>
    </row>
    <row r="301" spans="1:9" x14ac:dyDescent="0.2">
      <c r="A301" s="17" t="s">
        <v>180</v>
      </c>
      <c r="B301" s="17" t="s">
        <v>37</v>
      </c>
      <c r="C301" s="16">
        <v>42825.659317129626</v>
      </c>
      <c r="D301" s="17" t="s">
        <v>5</v>
      </c>
      <c r="E301" s="17" t="s">
        <v>46</v>
      </c>
      <c r="F301" s="16">
        <v>42836.472199074073</v>
      </c>
      <c r="G301" s="16"/>
      <c r="H301" s="16"/>
      <c r="I301" s="11">
        <v>301</v>
      </c>
    </row>
    <row r="302" spans="1:9" x14ac:dyDescent="0.2">
      <c r="A302" s="17" t="s">
        <v>180</v>
      </c>
      <c r="B302" s="17" t="s">
        <v>37</v>
      </c>
      <c r="C302" s="16">
        <v>42825.659317129626</v>
      </c>
      <c r="D302" s="17" t="s">
        <v>6</v>
      </c>
      <c r="E302" s="17" t="s">
        <v>107</v>
      </c>
      <c r="F302" s="16">
        <v>42836.537256944444</v>
      </c>
      <c r="G302" s="16"/>
      <c r="H302" s="16"/>
      <c r="I302" s="11">
        <v>302</v>
      </c>
    </row>
    <row r="303" spans="1:9" x14ac:dyDescent="0.2">
      <c r="A303" s="17" t="s">
        <v>180</v>
      </c>
      <c r="B303" s="17" t="s">
        <v>37</v>
      </c>
      <c r="C303" s="16">
        <v>42825.659317129626</v>
      </c>
      <c r="D303" s="17" t="s">
        <v>6</v>
      </c>
      <c r="E303" s="17" t="s">
        <v>67</v>
      </c>
      <c r="F303" s="16">
        <v>42873.610844907409</v>
      </c>
      <c r="G303" s="16"/>
      <c r="H303" s="16"/>
      <c r="I303" s="11">
        <v>303</v>
      </c>
    </row>
    <row r="304" spans="1:9" x14ac:dyDescent="0.2">
      <c r="A304" s="17" t="s">
        <v>179</v>
      </c>
      <c r="B304" s="17" t="s">
        <v>37</v>
      </c>
      <c r="C304" s="16">
        <v>42830.609305555554</v>
      </c>
      <c r="D304" s="17" t="s">
        <v>5</v>
      </c>
      <c r="E304" s="17" t="s">
        <v>40</v>
      </c>
      <c r="F304" s="16">
        <v>42830.609317129631</v>
      </c>
      <c r="G304" s="16"/>
      <c r="H304" s="16"/>
      <c r="I304" s="11">
        <v>304</v>
      </c>
    </row>
    <row r="305" spans="1:9" x14ac:dyDescent="0.2">
      <c r="A305" s="17" t="s">
        <v>179</v>
      </c>
      <c r="B305" s="17" t="s">
        <v>37</v>
      </c>
      <c r="C305" s="16">
        <v>42830.609305555554</v>
      </c>
      <c r="D305" s="17" t="s">
        <v>5</v>
      </c>
      <c r="E305" s="17" t="s">
        <v>46</v>
      </c>
      <c r="F305" s="16">
        <v>42830.617175925923</v>
      </c>
      <c r="G305" s="16"/>
      <c r="H305" s="16"/>
      <c r="I305" s="11">
        <v>305</v>
      </c>
    </row>
    <row r="306" spans="1:9" x14ac:dyDescent="0.2">
      <c r="A306" s="17" t="s">
        <v>179</v>
      </c>
      <c r="B306" s="17" t="s">
        <v>37</v>
      </c>
      <c r="C306" s="16">
        <v>42830.609305555554</v>
      </c>
      <c r="D306" s="17" t="s">
        <v>6</v>
      </c>
      <c r="E306" s="17" t="s">
        <v>44</v>
      </c>
      <c r="F306" s="16">
        <v>42830.626620370371</v>
      </c>
      <c r="G306" s="16"/>
      <c r="H306" s="16"/>
      <c r="I306" s="11">
        <v>306</v>
      </c>
    </row>
    <row r="307" spans="1:9" x14ac:dyDescent="0.2">
      <c r="A307" s="17" t="s">
        <v>179</v>
      </c>
      <c r="B307" s="17" t="s">
        <v>37</v>
      </c>
      <c r="C307" s="16">
        <v>42830.609305555554</v>
      </c>
      <c r="D307" s="17" t="s">
        <v>5</v>
      </c>
      <c r="E307" s="17" t="s">
        <v>51</v>
      </c>
      <c r="F307" s="16">
        <v>42830.626851851855</v>
      </c>
      <c r="G307" s="16"/>
      <c r="H307" s="16"/>
      <c r="I307" s="11">
        <v>307</v>
      </c>
    </row>
    <row r="308" spans="1:9" x14ac:dyDescent="0.2">
      <c r="A308" s="17" t="s">
        <v>178</v>
      </c>
      <c r="B308" s="17" t="s">
        <v>37</v>
      </c>
      <c r="C308" s="16">
        <v>42830.629548611112</v>
      </c>
      <c r="D308" s="17" t="s">
        <v>5</v>
      </c>
      <c r="E308" s="17" t="s">
        <v>40</v>
      </c>
      <c r="F308" s="16">
        <v>42830.629583333335</v>
      </c>
      <c r="G308" s="16"/>
      <c r="H308" s="16"/>
      <c r="I308" s="11">
        <v>308</v>
      </c>
    </row>
    <row r="309" spans="1:9" x14ac:dyDescent="0.2">
      <c r="A309" s="17" t="s">
        <v>178</v>
      </c>
      <c r="B309" s="17" t="s">
        <v>37</v>
      </c>
      <c r="C309" s="16">
        <v>42830.629548611112</v>
      </c>
      <c r="D309" s="17" t="s">
        <v>5</v>
      </c>
      <c r="E309" s="17" t="s">
        <v>51</v>
      </c>
      <c r="F309" s="16">
        <v>42830.639652777776</v>
      </c>
      <c r="G309" s="16"/>
      <c r="H309" s="16"/>
      <c r="I309" s="11">
        <v>309</v>
      </c>
    </row>
    <row r="310" spans="1:9" x14ac:dyDescent="0.2">
      <c r="A310" s="17" t="s">
        <v>177</v>
      </c>
      <c r="B310" s="17" t="s">
        <v>37</v>
      </c>
      <c r="C310" s="16">
        <v>42830.66201388889</v>
      </c>
      <c r="D310" s="17" t="s">
        <v>5</v>
      </c>
      <c r="E310" s="17" t="s">
        <v>40</v>
      </c>
      <c r="F310" s="16">
        <v>42830.662048611113</v>
      </c>
      <c r="G310" s="16"/>
      <c r="H310" s="16"/>
      <c r="I310" s="11">
        <v>310</v>
      </c>
    </row>
    <row r="311" spans="1:9" x14ac:dyDescent="0.2">
      <c r="A311" s="17" t="s">
        <v>177</v>
      </c>
      <c r="B311" s="17" t="s">
        <v>37</v>
      </c>
      <c r="C311" s="16">
        <v>42830.66201388889</v>
      </c>
      <c r="D311" s="17" t="s">
        <v>5</v>
      </c>
      <c r="E311" s="17" t="s">
        <v>36</v>
      </c>
      <c r="F311" s="16">
        <v>42830.663715277777</v>
      </c>
      <c r="G311" s="16"/>
      <c r="H311" s="16"/>
      <c r="I311" s="11">
        <v>311</v>
      </c>
    </row>
    <row r="312" spans="1:9" x14ac:dyDescent="0.2">
      <c r="A312" s="17" t="s">
        <v>177</v>
      </c>
      <c r="B312" s="17" t="s">
        <v>37</v>
      </c>
      <c r="C312" s="16">
        <v>42830.66201388889</v>
      </c>
      <c r="D312" s="17" t="s">
        <v>5</v>
      </c>
      <c r="E312" s="17" t="s">
        <v>41</v>
      </c>
      <c r="F312" s="16">
        <v>42830.703460648147</v>
      </c>
      <c r="G312" s="16"/>
      <c r="H312" s="16"/>
      <c r="I312" s="11">
        <v>312</v>
      </c>
    </row>
    <row r="313" spans="1:9" x14ac:dyDescent="0.2">
      <c r="A313" s="17" t="s">
        <v>177</v>
      </c>
      <c r="B313" s="17" t="s">
        <v>37</v>
      </c>
      <c r="C313" s="16">
        <v>42830.66201388889</v>
      </c>
      <c r="D313" s="17" t="s">
        <v>6</v>
      </c>
      <c r="E313" s="17" t="s">
        <v>61</v>
      </c>
      <c r="F313" s="16">
        <v>42835.540162037039</v>
      </c>
      <c r="G313" s="16"/>
      <c r="H313" s="16"/>
      <c r="I313" s="11">
        <v>313</v>
      </c>
    </row>
    <row r="314" spans="1:9" x14ac:dyDescent="0.2">
      <c r="A314" s="17" t="s">
        <v>176</v>
      </c>
      <c r="B314" s="17" t="s">
        <v>37</v>
      </c>
      <c r="C314" s="16">
        <v>42831.51421296296</v>
      </c>
      <c r="D314" s="17" t="s">
        <v>5</v>
      </c>
      <c r="E314" s="17" t="s">
        <v>40</v>
      </c>
      <c r="F314" s="16">
        <v>42831.514317129629</v>
      </c>
      <c r="G314" s="16"/>
      <c r="H314" s="16"/>
      <c r="I314" s="11">
        <v>314</v>
      </c>
    </row>
    <row r="315" spans="1:9" x14ac:dyDescent="0.2">
      <c r="A315" s="17" t="s">
        <v>176</v>
      </c>
      <c r="B315" s="17" t="s">
        <v>37</v>
      </c>
      <c r="C315" s="16">
        <v>42831.51421296296</v>
      </c>
      <c r="D315" s="17" t="s">
        <v>5</v>
      </c>
      <c r="E315" s="17" t="s">
        <v>36</v>
      </c>
      <c r="F315" s="16">
        <v>42831.520729166667</v>
      </c>
      <c r="G315" s="16"/>
      <c r="H315" s="16"/>
      <c r="I315" s="11">
        <v>315</v>
      </c>
    </row>
    <row r="316" spans="1:9" x14ac:dyDescent="0.2">
      <c r="A316" s="17" t="s">
        <v>176</v>
      </c>
      <c r="B316" s="17" t="s">
        <v>37</v>
      </c>
      <c r="C316" s="16">
        <v>42831.51421296296</v>
      </c>
      <c r="D316" s="17" t="s">
        <v>6</v>
      </c>
      <c r="E316" s="17" t="s">
        <v>39</v>
      </c>
      <c r="F316" s="16">
        <v>42831.520729166667</v>
      </c>
      <c r="G316" s="16"/>
      <c r="H316" s="16"/>
      <c r="I316" s="11">
        <v>316</v>
      </c>
    </row>
    <row r="317" spans="1:9" x14ac:dyDescent="0.2">
      <c r="A317" s="17" t="s">
        <v>176</v>
      </c>
      <c r="B317" s="17" t="s">
        <v>37</v>
      </c>
      <c r="C317" s="16">
        <v>42831.51421296296</v>
      </c>
      <c r="D317" s="17" t="s">
        <v>5</v>
      </c>
      <c r="E317" s="17" t="s">
        <v>41</v>
      </c>
      <c r="F317" s="16">
        <v>42836.430104166669</v>
      </c>
      <c r="G317" s="16"/>
      <c r="H317" s="16"/>
      <c r="I317" s="11">
        <v>317</v>
      </c>
    </row>
    <row r="318" spans="1:9" x14ac:dyDescent="0.2">
      <c r="A318" s="17" t="s">
        <v>176</v>
      </c>
      <c r="B318" s="17" t="s">
        <v>37</v>
      </c>
      <c r="C318" s="16">
        <v>42831.51421296296</v>
      </c>
      <c r="D318" s="17" t="s">
        <v>6</v>
      </c>
      <c r="E318" s="17" t="s">
        <v>61</v>
      </c>
      <c r="F318" s="16">
        <v>42836.476666666669</v>
      </c>
      <c r="G318" s="16"/>
      <c r="H318" s="16"/>
      <c r="I318" s="11">
        <v>318</v>
      </c>
    </row>
    <row r="319" spans="1:9" x14ac:dyDescent="0.2">
      <c r="A319" s="17" t="s">
        <v>175</v>
      </c>
      <c r="B319" s="17" t="s">
        <v>37</v>
      </c>
      <c r="C319" s="16">
        <v>42835.315844907411</v>
      </c>
      <c r="D319" s="17" t="s">
        <v>5</v>
      </c>
      <c r="E319" s="17" t="s">
        <v>40</v>
      </c>
      <c r="F319" s="16">
        <v>42835.31585648148</v>
      </c>
      <c r="G319" s="16"/>
      <c r="H319" s="16"/>
      <c r="I319" s="11">
        <v>319</v>
      </c>
    </row>
    <row r="320" spans="1:9" x14ac:dyDescent="0.2">
      <c r="A320" s="17" t="s">
        <v>175</v>
      </c>
      <c r="B320" s="17" t="s">
        <v>37</v>
      </c>
      <c r="C320" s="16">
        <v>42835.315844907411</v>
      </c>
      <c r="D320" s="17" t="s">
        <v>5</v>
      </c>
      <c r="E320" s="17" t="s">
        <v>36</v>
      </c>
      <c r="F320" s="16">
        <v>42835.318356481483</v>
      </c>
      <c r="G320" s="16"/>
      <c r="H320" s="16"/>
      <c r="I320" s="11">
        <v>320</v>
      </c>
    </row>
    <row r="321" spans="1:9" x14ac:dyDescent="0.2">
      <c r="A321" s="17" t="s">
        <v>175</v>
      </c>
      <c r="B321" s="17" t="s">
        <v>37</v>
      </c>
      <c r="C321" s="16">
        <v>42835.315844907411</v>
      </c>
      <c r="D321" s="17" t="s">
        <v>5</v>
      </c>
      <c r="E321" s="17" t="s">
        <v>46</v>
      </c>
      <c r="F321" s="16">
        <v>42835.371655092589</v>
      </c>
      <c r="G321" s="16"/>
      <c r="H321" s="16"/>
      <c r="I321" s="11">
        <v>321</v>
      </c>
    </row>
    <row r="322" spans="1:9" x14ac:dyDescent="0.2">
      <c r="A322" s="17" t="s">
        <v>175</v>
      </c>
      <c r="B322" s="17" t="s">
        <v>37</v>
      </c>
      <c r="C322" s="16">
        <v>42835.315844907411</v>
      </c>
      <c r="D322" s="17" t="s">
        <v>5</v>
      </c>
      <c r="E322" s="17" t="s">
        <v>51</v>
      </c>
      <c r="F322" s="16">
        <v>42835.407592592594</v>
      </c>
      <c r="G322" s="16"/>
      <c r="H322" s="16"/>
      <c r="I322" s="11">
        <v>322</v>
      </c>
    </row>
    <row r="323" spans="1:9" x14ac:dyDescent="0.2">
      <c r="A323" s="17" t="s">
        <v>174</v>
      </c>
      <c r="B323" s="17" t="s">
        <v>37</v>
      </c>
      <c r="C323" s="16">
        <v>42836.635243055556</v>
      </c>
      <c r="D323" s="17" t="s">
        <v>5</v>
      </c>
      <c r="E323" s="17" t="s">
        <v>40</v>
      </c>
      <c r="F323" s="16">
        <v>42836.635254629633</v>
      </c>
      <c r="G323" s="16"/>
      <c r="H323" s="16"/>
      <c r="I323" s="11">
        <v>323</v>
      </c>
    </row>
    <row r="324" spans="1:9" x14ac:dyDescent="0.2">
      <c r="A324" s="17" t="s">
        <v>174</v>
      </c>
      <c r="B324" s="17" t="s">
        <v>37</v>
      </c>
      <c r="C324" s="16">
        <v>42836.635243055556</v>
      </c>
      <c r="D324" s="17" t="s">
        <v>5</v>
      </c>
      <c r="E324" s="17" t="s">
        <v>36</v>
      </c>
      <c r="F324" s="16">
        <v>42836.635810185187</v>
      </c>
      <c r="G324" s="16"/>
      <c r="H324" s="16"/>
      <c r="I324" s="11">
        <v>324</v>
      </c>
    </row>
    <row r="325" spans="1:9" x14ac:dyDescent="0.2">
      <c r="A325" s="17" t="s">
        <v>174</v>
      </c>
      <c r="B325" s="17" t="s">
        <v>37</v>
      </c>
      <c r="C325" s="16">
        <v>42836.635243055556</v>
      </c>
      <c r="D325" s="17" t="s">
        <v>5</v>
      </c>
      <c r="E325" s="17" t="s">
        <v>51</v>
      </c>
      <c r="F325" s="16">
        <v>42836.682743055557</v>
      </c>
      <c r="G325" s="16"/>
      <c r="H325" s="16"/>
      <c r="I325" s="11">
        <v>325</v>
      </c>
    </row>
    <row r="326" spans="1:9" x14ac:dyDescent="0.2">
      <c r="A326" s="17" t="s">
        <v>174</v>
      </c>
      <c r="B326" s="17" t="s">
        <v>37</v>
      </c>
      <c r="C326" s="16">
        <v>42836.635243055556</v>
      </c>
      <c r="D326" s="17" t="s">
        <v>5</v>
      </c>
      <c r="E326" s="17" t="s">
        <v>46</v>
      </c>
      <c r="F326" s="16">
        <v>42836.683807870373</v>
      </c>
      <c r="G326" s="16"/>
      <c r="H326" s="16"/>
      <c r="I326" s="11">
        <v>326</v>
      </c>
    </row>
    <row r="327" spans="1:9" x14ac:dyDescent="0.2">
      <c r="A327" s="17" t="s">
        <v>174</v>
      </c>
      <c r="B327" s="17" t="s">
        <v>37</v>
      </c>
      <c r="C327" s="16">
        <v>42836.635243055556</v>
      </c>
      <c r="D327" s="17" t="s">
        <v>6</v>
      </c>
      <c r="E327" s="17" t="s">
        <v>44</v>
      </c>
      <c r="F327" s="16">
        <v>42836.705694444441</v>
      </c>
      <c r="G327" s="16"/>
      <c r="H327" s="16"/>
      <c r="I327" s="11">
        <v>327</v>
      </c>
    </row>
    <row r="328" spans="1:9" x14ac:dyDescent="0.2">
      <c r="A328" s="17" t="s">
        <v>174</v>
      </c>
      <c r="B328" s="17" t="s">
        <v>37</v>
      </c>
      <c r="C328" s="16">
        <v>42836.635243055556</v>
      </c>
      <c r="D328" s="17" t="s">
        <v>5</v>
      </c>
      <c r="E328" s="17" t="s">
        <v>51</v>
      </c>
      <c r="F328" s="16">
        <v>42836.705925925926</v>
      </c>
      <c r="G328" s="16"/>
      <c r="H328" s="16"/>
      <c r="I328" s="11">
        <v>328</v>
      </c>
    </row>
    <row r="329" spans="1:9" x14ac:dyDescent="0.2">
      <c r="A329" s="17" t="s">
        <v>173</v>
      </c>
      <c r="B329" s="17" t="s">
        <v>37</v>
      </c>
      <c r="C329" s="16">
        <v>42837.417870370373</v>
      </c>
      <c r="D329" s="17" t="s">
        <v>5</v>
      </c>
      <c r="E329" s="17" t="s">
        <v>40</v>
      </c>
      <c r="F329" s="16">
        <v>42837.417881944442</v>
      </c>
      <c r="G329" s="16"/>
      <c r="H329" s="16"/>
      <c r="I329" s="11">
        <v>329</v>
      </c>
    </row>
    <row r="330" spans="1:9" x14ac:dyDescent="0.2">
      <c r="A330" s="17" t="s">
        <v>173</v>
      </c>
      <c r="B330" s="17" t="s">
        <v>37</v>
      </c>
      <c r="C330" s="16">
        <v>42837.417870370373</v>
      </c>
      <c r="D330" s="17" t="s">
        <v>5</v>
      </c>
      <c r="E330" s="17" t="s">
        <v>41</v>
      </c>
      <c r="F330" s="16">
        <v>42837.425173611111</v>
      </c>
      <c r="G330" s="16"/>
      <c r="H330" s="16"/>
      <c r="I330" s="11">
        <v>330</v>
      </c>
    </row>
    <row r="331" spans="1:9" x14ac:dyDescent="0.2">
      <c r="A331" s="17" t="s">
        <v>173</v>
      </c>
      <c r="B331" s="17" t="s">
        <v>37</v>
      </c>
      <c r="C331" s="16">
        <v>42837.417870370373</v>
      </c>
      <c r="D331" s="17" t="s">
        <v>6</v>
      </c>
      <c r="E331" s="17" t="s">
        <v>61</v>
      </c>
      <c r="F331" s="16">
        <v>42838.432951388888</v>
      </c>
      <c r="G331" s="16"/>
      <c r="H331" s="16"/>
      <c r="I331" s="11">
        <v>331</v>
      </c>
    </row>
    <row r="332" spans="1:9" x14ac:dyDescent="0.2">
      <c r="A332" s="17" t="s">
        <v>172</v>
      </c>
      <c r="B332" s="17" t="s">
        <v>37</v>
      </c>
      <c r="C332" s="16">
        <v>42838.62427083333</v>
      </c>
      <c r="D332" s="17" t="s">
        <v>5</v>
      </c>
      <c r="E332" s="17" t="s">
        <v>40</v>
      </c>
      <c r="F332" s="16">
        <v>42838.624305555553</v>
      </c>
      <c r="G332" s="16"/>
      <c r="H332" s="16"/>
      <c r="I332" s="11">
        <v>332</v>
      </c>
    </row>
    <row r="333" spans="1:9" x14ac:dyDescent="0.2">
      <c r="A333" s="17" t="s">
        <v>172</v>
      </c>
      <c r="B333" s="17" t="s">
        <v>37</v>
      </c>
      <c r="C333" s="16">
        <v>42838.62427083333</v>
      </c>
      <c r="D333" s="17" t="s">
        <v>5</v>
      </c>
      <c r="E333" s="17" t="s">
        <v>36</v>
      </c>
      <c r="F333" s="16">
        <v>42838.624791666669</v>
      </c>
      <c r="G333" s="16"/>
      <c r="H333" s="16"/>
      <c r="I333" s="11">
        <v>333</v>
      </c>
    </row>
    <row r="334" spans="1:9" x14ac:dyDescent="0.2">
      <c r="A334" s="17" t="s">
        <v>172</v>
      </c>
      <c r="B334" s="17" t="s">
        <v>37</v>
      </c>
      <c r="C334" s="16">
        <v>42838.62427083333</v>
      </c>
      <c r="D334" s="17" t="s">
        <v>6</v>
      </c>
      <c r="E334" s="17" t="s">
        <v>47</v>
      </c>
      <c r="F334" s="16">
        <v>42838.706446759257</v>
      </c>
      <c r="G334" s="16"/>
      <c r="H334" s="16"/>
      <c r="I334" s="11">
        <v>334</v>
      </c>
    </row>
    <row r="335" spans="1:9" x14ac:dyDescent="0.2">
      <c r="A335" s="17" t="s">
        <v>172</v>
      </c>
      <c r="B335" s="17" t="s">
        <v>37</v>
      </c>
      <c r="C335" s="16">
        <v>42838.62427083333</v>
      </c>
      <c r="D335" s="17" t="s">
        <v>5</v>
      </c>
      <c r="E335" s="17" t="s">
        <v>41</v>
      </c>
      <c r="F335" s="16">
        <v>42839.555150462962</v>
      </c>
      <c r="G335" s="16"/>
      <c r="H335" s="16"/>
      <c r="I335" s="11">
        <v>335</v>
      </c>
    </row>
    <row r="336" spans="1:9" x14ac:dyDescent="0.2">
      <c r="A336" s="17" t="s">
        <v>172</v>
      </c>
      <c r="B336" s="17" t="s">
        <v>37</v>
      </c>
      <c r="C336" s="16">
        <v>42838.62427083333</v>
      </c>
      <c r="D336" s="17" t="s">
        <v>6</v>
      </c>
      <c r="E336" s="17" t="s">
        <v>61</v>
      </c>
      <c r="F336" s="16">
        <v>42843.437372685185</v>
      </c>
      <c r="G336" s="16"/>
      <c r="H336" s="16"/>
      <c r="I336" s="11">
        <v>336</v>
      </c>
    </row>
    <row r="337" spans="1:9" x14ac:dyDescent="0.2">
      <c r="A337" s="17" t="s">
        <v>171</v>
      </c>
      <c r="B337" s="17" t="s">
        <v>37</v>
      </c>
      <c r="C337" s="16">
        <v>42845.499374999999</v>
      </c>
      <c r="D337" s="17" t="s">
        <v>5</v>
      </c>
      <c r="E337" s="17" t="s">
        <v>40</v>
      </c>
      <c r="F337" s="16">
        <v>42845.499456018515</v>
      </c>
      <c r="G337" s="16"/>
      <c r="H337" s="16"/>
      <c r="I337" s="11">
        <v>337</v>
      </c>
    </row>
    <row r="338" spans="1:9" x14ac:dyDescent="0.2">
      <c r="A338" s="17" t="s">
        <v>171</v>
      </c>
      <c r="B338" s="17" t="s">
        <v>37</v>
      </c>
      <c r="C338" s="16">
        <v>42845.499374999999</v>
      </c>
      <c r="D338" s="17" t="s">
        <v>5</v>
      </c>
      <c r="E338" s="17" t="s">
        <v>36</v>
      </c>
      <c r="F338" s="16">
        <v>42845.512824074074</v>
      </c>
      <c r="G338" s="16"/>
      <c r="H338" s="16"/>
      <c r="I338" s="11">
        <v>338</v>
      </c>
    </row>
    <row r="339" spans="1:9" x14ac:dyDescent="0.2">
      <c r="A339" s="17" t="s">
        <v>171</v>
      </c>
      <c r="B339" s="17" t="s">
        <v>37</v>
      </c>
      <c r="C339" s="16">
        <v>42845.499374999999</v>
      </c>
      <c r="D339" s="17" t="s">
        <v>6</v>
      </c>
      <c r="E339" s="17" t="s">
        <v>39</v>
      </c>
      <c r="F339" s="16">
        <v>42845.612268518518</v>
      </c>
      <c r="G339" s="16"/>
      <c r="H339" s="16"/>
      <c r="I339" s="11">
        <v>339</v>
      </c>
    </row>
    <row r="340" spans="1:9" x14ac:dyDescent="0.2">
      <c r="A340" s="17" t="s">
        <v>171</v>
      </c>
      <c r="B340" s="17" t="s">
        <v>37</v>
      </c>
      <c r="C340" s="16">
        <v>42845.499374999999</v>
      </c>
      <c r="D340" s="17" t="s">
        <v>5</v>
      </c>
      <c r="E340" s="17" t="s">
        <v>41</v>
      </c>
      <c r="F340" s="16">
        <v>42845.642731481479</v>
      </c>
      <c r="G340" s="16"/>
      <c r="H340" s="16"/>
      <c r="I340" s="11">
        <v>340</v>
      </c>
    </row>
    <row r="341" spans="1:9" x14ac:dyDescent="0.2">
      <c r="A341" s="17" t="s">
        <v>171</v>
      </c>
      <c r="B341" s="17" t="s">
        <v>37</v>
      </c>
      <c r="C341" s="16">
        <v>42845.499374999999</v>
      </c>
      <c r="D341" s="17" t="s">
        <v>5</v>
      </c>
      <c r="E341" s="17" t="s">
        <v>36</v>
      </c>
      <c r="F341" s="16">
        <v>42845.658761574072</v>
      </c>
      <c r="G341" s="16"/>
      <c r="H341" s="16"/>
      <c r="I341" s="11">
        <v>341</v>
      </c>
    </row>
    <row r="342" spans="1:9" x14ac:dyDescent="0.2">
      <c r="A342" s="17" t="s">
        <v>171</v>
      </c>
      <c r="B342" s="17" t="s">
        <v>37</v>
      </c>
      <c r="C342" s="16">
        <v>42845.499374999999</v>
      </c>
      <c r="D342" s="17" t="s">
        <v>5</v>
      </c>
      <c r="E342" s="17" t="s">
        <v>51</v>
      </c>
      <c r="F342" s="16">
        <v>42845.676712962966</v>
      </c>
      <c r="G342" s="16"/>
      <c r="H342" s="16"/>
      <c r="I342" s="11">
        <v>342</v>
      </c>
    </row>
    <row r="343" spans="1:9" x14ac:dyDescent="0.2">
      <c r="A343" s="17" t="s">
        <v>170</v>
      </c>
      <c r="B343" s="17" t="s">
        <v>37</v>
      </c>
      <c r="C343" s="16">
        <v>42846.585173611114</v>
      </c>
      <c r="D343" s="17" t="s">
        <v>5</v>
      </c>
      <c r="E343" s="17" t="s">
        <v>40</v>
      </c>
      <c r="F343" s="16">
        <v>42846.585185185184</v>
      </c>
      <c r="G343" s="16"/>
      <c r="H343" s="16"/>
      <c r="I343" s="11">
        <v>343</v>
      </c>
    </row>
    <row r="344" spans="1:9" x14ac:dyDescent="0.2">
      <c r="A344" s="17" t="s">
        <v>170</v>
      </c>
      <c r="B344" s="17" t="s">
        <v>37</v>
      </c>
      <c r="C344" s="16">
        <v>42846.585173611114</v>
      </c>
      <c r="D344" s="17" t="s">
        <v>5</v>
      </c>
      <c r="E344" s="17" t="s">
        <v>36</v>
      </c>
      <c r="F344" s="16">
        <v>42846.589074074072</v>
      </c>
      <c r="G344" s="16"/>
      <c r="H344" s="16"/>
      <c r="I344" s="11">
        <v>344</v>
      </c>
    </row>
    <row r="345" spans="1:9" x14ac:dyDescent="0.2">
      <c r="A345" s="17" t="s">
        <v>170</v>
      </c>
      <c r="B345" s="17" t="s">
        <v>37</v>
      </c>
      <c r="C345" s="16">
        <v>42846.585173611114</v>
      </c>
      <c r="D345" s="17" t="s">
        <v>6</v>
      </c>
      <c r="E345" s="17" t="s">
        <v>86</v>
      </c>
      <c r="F345" s="16">
        <v>42846.603888888887</v>
      </c>
      <c r="G345" s="16"/>
      <c r="H345" s="16"/>
      <c r="I345" s="11">
        <v>345</v>
      </c>
    </row>
    <row r="346" spans="1:9" x14ac:dyDescent="0.2">
      <c r="A346" s="17" t="s">
        <v>170</v>
      </c>
      <c r="B346" s="17" t="s">
        <v>37</v>
      </c>
      <c r="C346" s="16">
        <v>42846.585173611114</v>
      </c>
      <c r="D346" s="17" t="s">
        <v>5</v>
      </c>
      <c r="E346" s="17" t="s">
        <v>46</v>
      </c>
      <c r="F346" s="16">
        <v>42846.605694444443</v>
      </c>
      <c r="G346" s="16"/>
      <c r="H346" s="16"/>
      <c r="I346" s="11">
        <v>346</v>
      </c>
    </row>
    <row r="347" spans="1:9" x14ac:dyDescent="0.2">
      <c r="A347" s="17" t="s">
        <v>170</v>
      </c>
      <c r="B347" s="17" t="s">
        <v>37</v>
      </c>
      <c r="C347" s="16">
        <v>42846.585173611114</v>
      </c>
      <c r="D347" s="17" t="s">
        <v>5</v>
      </c>
      <c r="E347" s="17" t="s">
        <v>36</v>
      </c>
      <c r="F347" s="16">
        <v>42846.64166666667</v>
      </c>
      <c r="G347" s="16"/>
      <c r="H347" s="16"/>
      <c r="I347" s="11">
        <v>347</v>
      </c>
    </row>
    <row r="348" spans="1:9" x14ac:dyDescent="0.2">
      <c r="A348" s="17" t="s">
        <v>170</v>
      </c>
      <c r="B348" s="17" t="s">
        <v>37</v>
      </c>
      <c r="C348" s="16">
        <v>42846.585173611114</v>
      </c>
      <c r="D348" s="17" t="s">
        <v>6</v>
      </c>
      <c r="E348" s="17" t="s">
        <v>86</v>
      </c>
      <c r="F348" s="16">
        <v>42846.64166666667</v>
      </c>
      <c r="G348" s="16"/>
      <c r="H348" s="16"/>
      <c r="I348" s="11">
        <v>348</v>
      </c>
    </row>
    <row r="349" spans="1:9" x14ac:dyDescent="0.2">
      <c r="A349" s="17" t="s">
        <v>170</v>
      </c>
      <c r="B349" s="17" t="s">
        <v>37</v>
      </c>
      <c r="C349" s="16">
        <v>42846.585173611114</v>
      </c>
      <c r="D349" s="17" t="s">
        <v>5</v>
      </c>
      <c r="E349" s="17" t="s">
        <v>41</v>
      </c>
      <c r="F349" s="16">
        <v>42853.688935185186</v>
      </c>
      <c r="G349" s="16"/>
      <c r="H349" s="16"/>
      <c r="I349" s="11">
        <v>349</v>
      </c>
    </row>
    <row r="350" spans="1:9" x14ac:dyDescent="0.2">
      <c r="A350" s="17" t="s">
        <v>170</v>
      </c>
      <c r="B350" s="17" t="s">
        <v>37</v>
      </c>
      <c r="C350" s="16">
        <v>42846.585173611114</v>
      </c>
      <c r="D350" s="17" t="s">
        <v>6</v>
      </c>
      <c r="E350" s="17" t="s">
        <v>61</v>
      </c>
      <c r="F350" s="16">
        <v>42856.641145833331</v>
      </c>
      <c r="G350" s="16"/>
      <c r="H350" s="16"/>
      <c r="I350" s="11">
        <v>350</v>
      </c>
    </row>
    <row r="351" spans="1:9" x14ac:dyDescent="0.2">
      <c r="A351" s="17" t="s">
        <v>169</v>
      </c>
      <c r="B351" s="17" t="s">
        <v>37</v>
      </c>
      <c r="C351" s="16">
        <v>42849.737280092595</v>
      </c>
      <c r="D351" s="17" t="s">
        <v>5</v>
      </c>
      <c r="E351" s="17" t="s">
        <v>40</v>
      </c>
      <c r="F351" s="16">
        <v>42849.737349537034</v>
      </c>
      <c r="G351" s="16"/>
      <c r="H351" s="16"/>
      <c r="I351" s="11">
        <v>351</v>
      </c>
    </row>
    <row r="352" spans="1:9" x14ac:dyDescent="0.2">
      <c r="A352" s="17" t="s">
        <v>169</v>
      </c>
      <c r="B352" s="17" t="s">
        <v>37</v>
      </c>
      <c r="C352" s="16">
        <v>42849.737280092595</v>
      </c>
      <c r="D352" s="17" t="s">
        <v>5</v>
      </c>
      <c r="E352" s="17" t="s">
        <v>36</v>
      </c>
      <c r="F352" s="16">
        <v>42849.737939814811</v>
      </c>
      <c r="G352" s="16"/>
      <c r="H352" s="16"/>
      <c r="I352" s="11">
        <v>352</v>
      </c>
    </row>
    <row r="353" spans="1:9" x14ac:dyDescent="0.2">
      <c r="A353" s="17" t="s">
        <v>169</v>
      </c>
      <c r="B353" s="17" t="s">
        <v>37</v>
      </c>
      <c r="C353" s="16">
        <v>42849.737280092595</v>
      </c>
      <c r="D353" s="17" t="s">
        <v>6</v>
      </c>
      <c r="E353" s="17" t="s">
        <v>47</v>
      </c>
      <c r="F353" s="16">
        <v>42849.737939814811</v>
      </c>
      <c r="G353" s="16"/>
      <c r="H353" s="16"/>
      <c r="I353" s="11">
        <v>353</v>
      </c>
    </row>
    <row r="354" spans="1:9" x14ac:dyDescent="0.2">
      <c r="A354" s="17" t="s">
        <v>169</v>
      </c>
      <c r="B354" s="17" t="s">
        <v>37</v>
      </c>
      <c r="C354" s="16">
        <v>42849.737280092595</v>
      </c>
      <c r="D354" s="17" t="s">
        <v>5</v>
      </c>
      <c r="E354" s="17" t="s">
        <v>46</v>
      </c>
      <c r="F354" s="16">
        <v>42850.368113425924</v>
      </c>
      <c r="G354" s="16"/>
      <c r="H354" s="16"/>
      <c r="I354" s="11">
        <v>354</v>
      </c>
    </row>
    <row r="355" spans="1:9" x14ac:dyDescent="0.2">
      <c r="A355" s="17" t="s">
        <v>169</v>
      </c>
      <c r="B355" s="17" t="s">
        <v>37</v>
      </c>
      <c r="C355" s="16">
        <v>42849.737280092595</v>
      </c>
      <c r="D355" s="17" t="s">
        <v>6</v>
      </c>
      <c r="E355" s="17" t="s">
        <v>107</v>
      </c>
      <c r="F355" s="16">
        <v>42850.471828703703</v>
      </c>
      <c r="G355" s="16"/>
      <c r="H355" s="16"/>
      <c r="I355" s="11">
        <v>355</v>
      </c>
    </row>
    <row r="356" spans="1:9" x14ac:dyDescent="0.2">
      <c r="A356" s="17" t="s">
        <v>169</v>
      </c>
      <c r="B356" s="17" t="s">
        <v>37</v>
      </c>
      <c r="C356" s="16">
        <v>42849.737280092595</v>
      </c>
      <c r="D356" s="17" t="s">
        <v>6</v>
      </c>
      <c r="E356" s="17" t="s">
        <v>67</v>
      </c>
      <c r="F356" s="16">
        <v>42873.60665509259</v>
      </c>
      <c r="G356" s="16"/>
      <c r="H356" s="16"/>
      <c r="I356" s="11">
        <v>356</v>
      </c>
    </row>
    <row r="357" spans="1:9" x14ac:dyDescent="0.2">
      <c r="A357" s="17" t="s">
        <v>168</v>
      </c>
      <c r="B357" s="17" t="s">
        <v>37</v>
      </c>
      <c r="C357" s="16">
        <v>42851.411134259259</v>
      </c>
      <c r="D357" s="17" t="s">
        <v>5</v>
      </c>
      <c r="E357" s="17" t="s">
        <v>36</v>
      </c>
      <c r="F357" s="16">
        <v>42851.417881944442</v>
      </c>
      <c r="G357" s="16"/>
      <c r="H357" s="16"/>
      <c r="I357" s="11">
        <v>357</v>
      </c>
    </row>
    <row r="358" spans="1:9" x14ac:dyDescent="0.2">
      <c r="A358" s="17" t="s">
        <v>168</v>
      </c>
      <c r="B358" s="17" t="s">
        <v>37</v>
      </c>
      <c r="C358" s="16">
        <v>42851.411134259259</v>
      </c>
      <c r="D358" s="17" t="s">
        <v>6</v>
      </c>
      <c r="E358" s="17" t="s">
        <v>60</v>
      </c>
      <c r="F358" s="16">
        <v>42851.421111111114</v>
      </c>
      <c r="G358" s="16"/>
      <c r="H358" s="16"/>
      <c r="I358" s="11">
        <v>358</v>
      </c>
    </row>
    <row r="359" spans="1:9" x14ac:dyDescent="0.2">
      <c r="A359" s="17" t="s">
        <v>168</v>
      </c>
      <c r="B359" s="17" t="s">
        <v>37</v>
      </c>
      <c r="C359" s="16">
        <v>42851.411134259259</v>
      </c>
      <c r="D359" s="17" t="s">
        <v>5</v>
      </c>
      <c r="E359" s="17" t="s">
        <v>41</v>
      </c>
      <c r="F359" s="16">
        <v>42851.421574074076</v>
      </c>
      <c r="G359" s="16"/>
      <c r="H359" s="16"/>
      <c r="I359" s="11">
        <v>359</v>
      </c>
    </row>
    <row r="360" spans="1:9" x14ac:dyDescent="0.2">
      <c r="A360" s="17" t="s">
        <v>168</v>
      </c>
      <c r="B360" s="17" t="s">
        <v>37</v>
      </c>
      <c r="C360" s="16">
        <v>42851.411134259259</v>
      </c>
      <c r="D360" s="17" t="s">
        <v>6</v>
      </c>
      <c r="E360" s="17" t="s">
        <v>164</v>
      </c>
      <c r="F360" s="16">
        <v>42852.749606481484</v>
      </c>
      <c r="G360" s="16"/>
      <c r="H360" s="16"/>
      <c r="I360" s="11">
        <v>360</v>
      </c>
    </row>
    <row r="361" spans="1:9" x14ac:dyDescent="0.2">
      <c r="A361" s="17" t="s">
        <v>167</v>
      </c>
      <c r="B361" s="17" t="s">
        <v>37</v>
      </c>
      <c r="C361" s="16">
        <v>42851.60601851852</v>
      </c>
      <c r="D361" s="17" t="s">
        <v>5</v>
      </c>
      <c r="E361" s="17" t="s">
        <v>40</v>
      </c>
      <c r="F361" s="16">
        <v>42851.606041666666</v>
      </c>
      <c r="G361" s="16"/>
      <c r="H361" s="16"/>
      <c r="I361" s="11">
        <v>361</v>
      </c>
    </row>
    <row r="362" spans="1:9" x14ac:dyDescent="0.2">
      <c r="A362" s="17" t="s">
        <v>167</v>
      </c>
      <c r="B362" s="17" t="s">
        <v>37</v>
      </c>
      <c r="C362" s="16">
        <v>42851.60601851852</v>
      </c>
      <c r="D362" s="17" t="s">
        <v>5</v>
      </c>
      <c r="E362" s="17" t="s">
        <v>36</v>
      </c>
      <c r="F362" s="16">
        <v>42851.606400462966</v>
      </c>
      <c r="G362" s="16"/>
      <c r="H362" s="16"/>
      <c r="I362" s="11">
        <v>362</v>
      </c>
    </row>
    <row r="363" spans="1:9" x14ac:dyDescent="0.2">
      <c r="A363" s="17" t="s">
        <v>167</v>
      </c>
      <c r="B363" s="17" t="s">
        <v>37</v>
      </c>
      <c r="C363" s="16">
        <v>42851.60601851852</v>
      </c>
      <c r="D363" s="17" t="s">
        <v>6</v>
      </c>
      <c r="E363" s="17" t="s">
        <v>47</v>
      </c>
      <c r="F363" s="16">
        <v>42851.726481481484</v>
      </c>
      <c r="G363" s="16"/>
      <c r="H363" s="16"/>
      <c r="I363" s="11">
        <v>363</v>
      </c>
    </row>
    <row r="364" spans="1:9" x14ac:dyDescent="0.2">
      <c r="A364" s="17" t="s">
        <v>167</v>
      </c>
      <c r="B364" s="17" t="s">
        <v>37</v>
      </c>
      <c r="C364" s="16">
        <v>42851.60601851852</v>
      </c>
      <c r="D364" s="17" t="s">
        <v>5</v>
      </c>
      <c r="E364" s="17" t="s">
        <v>41</v>
      </c>
      <c r="F364" s="16">
        <v>42852.562951388885</v>
      </c>
      <c r="G364" s="16"/>
      <c r="H364" s="16"/>
      <c r="I364" s="11">
        <v>364</v>
      </c>
    </row>
    <row r="365" spans="1:9" x14ac:dyDescent="0.2">
      <c r="A365" s="17" t="s">
        <v>167</v>
      </c>
      <c r="B365" s="17" t="s">
        <v>37</v>
      </c>
      <c r="C365" s="16">
        <v>42851.60601851852</v>
      </c>
      <c r="D365" s="17" t="s">
        <v>6</v>
      </c>
      <c r="E365" s="17" t="s">
        <v>164</v>
      </c>
      <c r="F365" s="16">
        <v>42852.571284722224</v>
      </c>
      <c r="G365" s="16"/>
      <c r="H365" s="16"/>
      <c r="I365" s="11">
        <v>365</v>
      </c>
    </row>
    <row r="366" spans="1:9" x14ac:dyDescent="0.2">
      <c r="A366" s="17" t="s">
        <v>166</v>
      </c>
      <c r="B366" s="17" t="s">
        <v>37</v>
      </c>
      <c r="C366" s="16">
        <v>42851.61446759259</v>
      </c>
      <c r="D366" s="17" t="s">
        <v>5</v>
      </c>
      <c r="E366" s="17" t="s">
        <v>40</v>
      </c>
      <c r="F366" s="16">
        <v>42851.614548611113</v>
      </c>
      <c r="G366" s="16"/>
      <c r="H366" s="16"/>
      <c r="I366" s="11">
        <v>366</v>
      </c>
    </row>
    <row r="367" spans="1:9" x14ac:dyDescent="0.2">
      <c r="A367" s="17" t="s">
        <v>166</v>
      </c>
      <c r="B367" s="17" t="s">
        <v>37</v>
      </c>
      <c r="C367" s="16">
        <v>42851.61446759259</v>
      </c>
      <c r="D367" s="17" t="s">
        <v>5</v>
      </c>
      <c r="E367" s="17" t="s">
        <v>46</v>
      </c>
      <c r="F367" s="16">
        <v>42851.626701388886</v>
      </c>
      <c r="G367" s="16"/>
      <c r="H367" s="16"/>
      <c r="I367" s="11">
        <v>367</v>
      </c>
    </row>
    <row r="368" spans="1:9" x14ac:dyDescent="0.2">
      <c r="A368" s="17" t="s">
        <v>166</v>
      </c>
      <c r="B368" s="17" t="s">
        <v>37</v>
      </c>
      <c r="C368" s="16">
        <v>42851.61446759259</v>
      </c>
      <c r="D368" s="17" t="s">
        <v>6</v>
      </c>
      <c r="E368" s="17" t="s">
        <v>49</v>
      </c>
      <c r="F368" s="16">
        <v>42851.673032407409</v>
      </c>
      <c r="G368" s="16"/>
      <c r="H368" s="16"/>
      <c r="I368" s="11">
        <v>368</v>
      </c>
    </row>
    <row r="369" spans="1:9" x14ac:dyDescent="0.2">
      <c r="A369" s="17" t="s">
        <v>166</v>
      </c>
      <c r="B369" s="17" t="s">
        <v>37</v>
      </c>
      <c r="C369" s="16">
        <v>42851.61446759259</v>
      </c>
      <c r="D369" s="17" t="s">
        <v>5</v>
      </c>
      <c r="E369" s="17" t="s">
        <v>41</v>
      </c>
      <c r="F369" s="16">
        <v>42853.417604166665</v>
      </c>
      <c r="G369" s="16"/>
      <c r="H369" s="16"/>
      <c r="I369" s="11">
        <v>369</v>
      </c>
    </row>
    <row r="370" spans="1:9" x14ac:dyDescent="0.2">
      <c r="A370" s="17" t="s">
        <v>166</v>
      </c>
      <c r="B370" s="17" t="s">
        <v>37</v>
      </c>
      <c r="C370" s="16">
        <v>42851.61446759259</v>
      </c>
      <c r="D370" s="17" t="s">
        <v>6</v>
      </c>
      <c r="E370" s="17" t="s">
        <v>61</v>
      </c>
      <c r="F370" s="16">
        <v>42857.442986111113</v>
      </c>
      <c r="G370" s="16"/>
      <c r="H370" s="16"/>
      <c r="I370" s="11">
        <v>370</v>
      </c>
    </row>
    <row r="371" spans="1:9" x14ac:dyDescent="0.2">
      <c r="A371" s="17" t="s">
        <v>165</v>
      </c>
      <c r="B371" s="17" t="s">
        <v>37</v>
      </c>
      <c r="C371" s="16">
        <v>42852.448252314818</v>
      </c>
      <c r="D371" s="17" t="s">
        <v>5</v>
      </c>
      <c r="E371" s="17" t="s">
        <v>40</v>
      </c>
      <c r="F371" s="16">
        <v>42852.448333333334</v>
      </c>
      <c r="G371" s="16"/>
      <c r="H371" s="16"/>
      <c r="I371" s="11">
        <v>371</v>
      </c>
    </row>
    <row r="372" spans="1:9" x14ac:dyDescent="0.2">
      <c r="A372" s="17" t="s">
        <v>165</v>
      </c>
      <c r="B372" s="17" t="s">
        <v>37</v>
      </c>
      <c r="C372" s="16">
        <v>42852.448252314818</v>
      </c>
      <c r="D372" s="17" t="s">
        <v>5</v>
      </c>
      <c r="E372" s="17" t="s">
        <v>46</v>
      </c>
      <c r="F372" s="16">
        <v>42852.465578703705</v>
      </c>
      <c r="G372" s="16"/>
      <c r="H372" s="16"/>
      <c r="I372" s="11">
        <v>372</v>
      </c>
    </row>
    <row r="373" spans="1:9" x14ac:dyDescent="0.2">
      <c r="A373" s="17" t="s">
        <v>165</v>
      </c>
      <c r="B373" s="17" t="s">
        <v>37</v>
      </c>
      <c r="C373" s="16">
        <v>42852.448252314818</v>
      </c>
      <c r="D373" s="17" t="s">
        <v>6</v>
      </c>
      <c r="E373" s="17" t="s">
        <v>44</v>
      </c>
      <c r="F373" s="16">
        <v>42852.471099537041</v>
      </c>
      <c r="G373" s="16"/>
      <c r="H373" s="16"/>
      <c r="I373" s="11">
        <v>373</v>
      </c>
    </row>
    <row r="374" spans="1:9" x14ac:dyDescent="0.2">
      <c r="A374" s="17" t="s">
        <v>165</v>
      </c>
      <c r="B374" s="17" t="s">
        <v>37</v>
      </c>
      <c r="C374" s="16">
        <v>42852.448252314818</v>
      </c>
      <c r="D374" s="17" t="s">
        <v>6</v>
      </c>
      <c r="E374" s="17" t="s">
        <v>49</v>
      </c>
      <c r="F374" s="16">
        <v>42852.488761574074</v>
      </c>
      <c r="G374" s="16"/>
      <c r="H374" s="16"/>
      <c r="I374" s="11">
        <v>374</v>
      </c>
    </row>
    <row r="375" spans="1:9" x14ac:dyDescent="0.2">
      <c r="A375" s="17" t="s">
        <v>165</v>
      </c>
      <c r="B375" s="17" t="s">
        <v>37</v>
      </c>
      <c r="C375" s="16">
        <v>42852.448252314818</v>
      </c>
      <c r="D375" s="17" t="s">
        <v>5</v>
      </c>
      <c r="E375" s="17" t="s">
        <v>41</v>
      </c>
      <c r="F375" s="16">
        <v>42852.61414351852</v>
      </c>
      <c r="G375" s="16"/>
      <c r="H375" s="16"/>
      <c r="I375" s="11">
        <v>375</v>
      </c>
    </row>
    <row r="376" spans="1:9" x14ac:dyDescent="0.2">
      <c r="A376" s="17" t="s">
        <v>165</v>
      </c>
      <c r="B376" s="17" t="s">
        <v>37</v>
      </c>
      <c r="C376" s="16">
        <v>42852.448252314818</v>
      </c>
      <c r="D376" s="17" t="s">
        <v>6</v>
      </c>
      <c r="E376" s="17" t="s">
        <v>164</v>
      </c>
      <c r="F376" s="16">
        <v>42852.728530092594</v>
      </c>
      <c r="G376" s="16"/>
      <c r="H376" s="16"/>
      <c r="I376" s="11">
        <v>376</v>
      </c>
    </row>
    <row r="377" spans="1:9" x14ac:dyDescent="0.2">
      <c r="A377" s="17" t="s">
        <v>163</v>
      </c>
      <c r="B377" s="17" t="s">
        <v>65</v>
      </c>
      <c r="C377" s="16">
        <v>42853.507175925923</v>
      </c>
      <c r="D377" s="17" t="s">
        <v>5</v>
      </c>
      <c r="E377" s="17" t="s">
        <v>40</v>
      </c>
      <c r="F377" s="16">
        <v>42853.507222222222</v>
      </c>
      <c r="G377" s="16"/>
      <c r="H377" s="16"/>
      <c r="I377" s="11">
        <v>377</v>
      </c>
    </row>
    <row r="378" spans="1:9" x14ac:dyDescent="0.2">
      <c r="A378" s="17" t="s">
        <v>163</v>
      </c>
      <c r="B378" s="17" t="s">
        <v>65</v>
      </c>
      <c r="C378" s="16">
        <v>42853.507175925923</v>
      </c>
      <c r="D378" s="17" t="s">
        <v>5</v>
      </c>
      <c r="E378" s="17" t="s">
        <v>36</v>
      </c>
      <c r="F378" s="16">
        <v>42853.508391203701</v>
      </c>
      <c r="G378" s="16"/>
      <c r="H378" s="16"/>
      <c r="I378" s="11">
        <v>378</v>
      </c>
    </row>
    <row r="379" spans="1:9" x14ac:dyDescent="0.2">
      <c r="A379" s="17" t="s">
        <v>163</v>
      </c>
      <c r="B379" s="17" t="s">
        <v>65</v>
      </c>
      <c r="C379" s="16">
        <v>42853.507175925923</v>
      </c>
      <c r="D379" s="17" t="s">
        <v>5</v>
      </c>
      <c r="E379" s="17" t="s">
        <v>46</v>
      </c>
      <c r="F379" s="16">
        <v>42853.518460648149</v>
      </c>
      <c r="G379" s="16"/>
      <c r="H379" s="16"/>
      <c r="I379" s="11">
        <v>379</v>
      </c>
    </row>
    <row r="380" spans="1:9" x14ac:dyDescent="0.2">
      <c r="A380" s="17" t="s">
        <v>163</v>
      </c>
      <c r="B380" s="17" t="s">
        <v>65</v>
      </c>
      <c r="C380" s="16">
        <v>42853.507175925923</v>
      </c>
      <c r="D380" s="17" t="s">
        <v>6</v>
      </c>
      <c r="E380" s="17" t="s">
        <v>44</v>
      </c>
      <c r="F380" s="16">
        <v>42853.611921296295</v>
      </c>
      <c r="G380" s="16"/>
      <c r="H380" s="16"/>
      <c r="I380" s="11">
        <v>380</v>
      </c>
    </row>
    <row r="381" spans="1:9" x14ac:dyDescent="0.2">
      <c r="A381" s="17" t="s">
        <v>163</v>
      </c>
      <c r="B381" s="17" t="s">
        <v>65</v>
      </c>
      <c r="C381" s="16">
        <v>42853.507175925923</v>
      </c>
      <c r="D381" s="17" t="s">
        <v>5</v>
      </c>
      <c r="E381" s="17" t="s">
        <v>153</v>
      </c>
      <c r="F381" s="16">
        <v>42880.356805555559</v>
      </c>
      <c r="G381" s="16"/>
      <c r="H381" s="16"/>
      <c r="I381" s="11">
        <v>381</v>
      </c>
    </row>
    <row r="382" spans="1:9" ht="25.5" x14ac:dyDescent="0.2">
      <c r="A382" s="17" t="s">
        <v>163</v>
      </c>
      <c r="B382" s="17" t="s">
        <v>65</v>
      </c>
      <c r="C382" s="16">
        <v>42853.507175925923</v>
      </c>
      <c r="D382" s="17" t="s">
        <v>6</v>
      </c>
      <c r="E382" s="17" t="s">
        <v>151</v>
      </c>
      <c r="F382" s="16">
        <v>42880.356805555559</v>
      </c>
      <c r="G382" s="16"/>
      <c r="H382" s="16"/>
      <c r="I382" s="11">
        <v>382</v>
      </c>
    </row>
    <row r="383" spans="1:9" x14ac:dyDescent="0.2">
      <c r="A383" s="17" t="s">
        <v>163</v>
      </c>
      <c r="B383" s="17" t="s">
        <v>65</v>
      </c>
      <c r="C383" s="16">
        <v>42853.507175925923</v>
      </c>
      <c r="D383" s="17" t="s">
        <v>5</v>
      </c>
      <c r="E383" s="17" t="s">
        <v>41</v>
      </c>
      <c r="F383" s="16">
        <v>42887.443645833337</v>
      </c>
      <c r="G383" s="16"/>
      <c r="H383" s="16"/>
      <c r="I383" s="11">
        <v>383</v>
      </c>
    </row>
    <row r="384" spans="1:9" x14ac:dyDescent="0.2">
      <c r="A384" s="17" t="s">
        <v>163</v>
      </c>
      <c r="B384" s="17" t="s">
        <v>65</v>
      </c>
      <c r="C384" s="16">
        <v>42853.507175925923</v>
      </c>
      <c r="D384" s="17" t="s">
        <v>6</v>
      </c>
      <c r="E384" s="17" t="s">
        <v>61</v>
      </c>
      <c r="F384" s="16">
        <v>42887.443645833337</v>
      </c>
      <c r="G384" s="16"/>
      <c r="H384" s="16"/>
      <c r="I384" s="11">
        <v>384</v>
      </c>
    </row>
    <row r="385" spans="1:9" x14ac:dyDescent="0.2">
      <c r="A385" s="17" t="s">
        <v>162</v>
      </c>
      <c r="B385" s="17" t="s">
        <v>37</v>
      </c>
      <c r="C385" s="16">
        <v>42857.474942129629</v>
      </c>
      <c r="D385" s="17" t="s">
        <v>5</v>
      </c>
      <c r="E385" s="17" t="s">
        <v>40</v>
      </c>
      <c r="F385" s="16">
        <v>42857.474965277775</v>
      </c>
      <c r="G385" s="16"/>
      <c r="H385" s="16"/>
      <c r="I385" s="11">
        <v>385</v>
      </c>
    </row>
    <row r="386" spans="1:9" x14ac:dyDescent="0.2">
      <c r="A386" s="17" t="s">
        <v>162</v>
      </c>
      <c r="B386" s="17" t="s">
        <v>37</v>
      </c>
      <c r="C386" s="16">
        <v>42857.474942129629</v>
      </c>
      <c r="D386" s="17" t="s">
        <v>5</v>
      </c>
      <c r="E386" s="17" t="s">
        <v>36</v>
      </c>
      <c r="F386" s="16">
        <v>42857.48269675926</v>
      </c>
      <c r="G386" s="16"/>
      <c r="H386" s="16"/>
      <c r="I386" s="11">
        <v>386</v>
      </c>
    </row>
    <row r="387" spans="1:9" x14ac:dyDescent="0.2">
      <c r="A387" s="17" t="s">
        <v>162</v>
      </c>
      <c r="B387" s="17" t="s">
        <v>37</v>
      </c>
      <c r="C387" s="16">
        <v>42857.474942129629</v>
      </c>
      <c r="D387" s="17" t="s">
        <v>6</v>
      </c>
      <c r="E387" s="17" t="s">
        <v>64</v>
      </c>
      <c r="F387" s="16">
        <v>42857.528865740744</v>
      </c>
      <c r="G387" s="16"/>
      <c r="H387" s="16"/>
      <c r="I387" s="11">
        <v>387</v>
      </c>
    </row>
    <row r="388" spans="1:9" x14ac:dyDescent="0.2">
      <c r="A388" s="17" t="s">
        <v>162</v>
      </c>
      <c r="B388" s="17" t="s">
        <v>37</v>
      </c>
      <c r="C388" s="16">
        <v>42857.474942129629</v>
      </c>
      <c r="D388" s="17" t="s">
        <v>5</v>
      </c>
      <c r="E388" s="17" t="s">
        <v>51</v>
      </c>
      <c r="F388" s="16">
        <v>42857.542453703703</v>
      </c>
      <c r="G388" s="16"/>
      <c r="H388" s="16"/>
      <c r="I388" s="11">
        <v>388</v>
      </c>
    </row>
    <row r="389" spans="1:9" x14ac:dyDescent="0.2">
      <c r="A389" s="17" t="s">
        <v>162</v>
      </c>
      <c r="B389" s="17" t="s">
        <v>37</v>
      </c>
      <c r="C389" s="16">
        <v>42857.474942129629</v>
      </c>
      <c r="D389" s="17" t="s">
        <v>6</v>
      </c>
      <c r="E389" s="17" t="s">
        <v>147</v>
      </c>
      <c r="F389" s="16">
        <v>42858.561238425929</v>
      </c>
      <c r="G389" s="16"/>
      <c r="H389" s="16"/>
      <c r="I389" s="11">
        <v>389</v>
      </c>
    </row>
    <row r="390" spans="1:9" x14ac:dyDescent="0.2">
      <c r="A390" s="17" t="s">
        <v>161</v>
      </c>
      <c r="B390" s="17" t="s">
        <v>65</v>
      </c>
      <c r="C390" s="16">
        <v>42857.476481481484</v>
      </c>
      <c r="D390" s="17" t="s">
        <v>5</v>
      </c>
      <c r="E390" s="17" t="s">
        <v>40</v>
      </c>
      <c r="F390" s="16">
        <v>42857.476493055554</v>
      </c>
      <c r="G390" s="16"/>
      <c r="H390" s="16"/>
      <c r="I390" s="11">
        <v>390</v>
      </c>
    </row>
    <row r="391" spans="1:9" x14ac:dyDescent="0.2">
      <c r="A391" s="17" t="s">
        <v>161</v>
      </c>
      <c r="B391" s="17" t="s">
        <v>65</v>
      </c>
      <c r="C391" s="16">
        <v>42857.476481481484</v>
      </c>
      <c r="D391" s="17" t="s">
        <v>5</v>
      </c>
      <c r="E391" s="17" t="s">
        <v>36</v>
      </c>
      <c r="F391" s="16">
        <v>42857.477372685185</v>
      </c>
      <c r="G391" s="16"/>
      <c r="H391" s="16"/>
      <c r="I391" s="11">
        <v>391</v>
      </c>
    </row>
    <row r="392" spans="1:9" x14ac:dyDescent="0.2">
      <c r="A392" s="17" t="s">
        <v>161</v>
      </c>
      <c r="B392" s="17" t="s">
        <v>65</v>
      </c>
      <c r="C392" s="16">
        <v>42857.476481481484</v>
      </c>
      <c r="D392" s="17" t="s">
        <v>5</v>
      </c>
      <c r="E392" s="17" t="s">
        <v>46</v>
      </c>
      <c r="F392" s="16">
        <v>42857.532500000001</v>
      </c>
      <c r="G392" s="16"/>
      <c r="H392" s="16"/>
      <c r="I392" s="11">
        <v>392</v>
      </c>
    </row>
    <row r="393" spans="1:9" x14ac:dyDescent="0.2">
      <c r="A393" s="17" t="s">
        <v>161</v>
      </c>
      <c r="B393" s="17" t="s">
        <v>65</v>
      </c>
      <c r="C393" s="16">
        <v>42857.476481481484</v>
      </c>
      <c r="D393" s="17" t="s">
        <v>6</v>
      </c>
      <c r="E393" s="17" t="s">
        <v>44</v>
      </c>
      <c r="F393" s="16">
        <v>42857.569768518515</v>
      </c>
      <c r="G393" s="16"/>
      <c r="H393" s="16"/>
      <c r="I393" s="11">
        <v>393</v>
      </c>
    </row>
    <row r="394" spans="1:9" x14ac:dyDescent="0.2">
      <c r="A394" s="17" t="s">
        <v>160</v>
      </c>
      <c r="B394" s="17" t="s">
        <v>37</v>
      </c>
      <c r="C394" s="16">
        <v>42857.695486111108</v>
      </c>
      <c r="D394" s="17" t="s">
        <v>5</v>
      </c>
      <c r="E394" s="17" t="s">
        <v>40</v>
      </c>
      <c r="F394" s="16">
        <v>42857.695555555554</v>
      </c>
      <c r="G394" s="16"/>
      <c r="H394" s="16"/>
      <c r="I394" s="11">
        <v>394</v>
      </c>
    </row>
    <row r="395" spans="1:9" x14ac:dyDescent="0.2">
      <c r="A395" s="17" t="s">
        <v>160</v>
      </c>
      <c r="B395" s="17" t="s">
        <v>37</v>
      </c>
      <c r="C395" s="16">
        <v>42857.695486111108</v>
      </c>
      <c r="D395" s="17" t="s">
        <v>5</v>
      </c>
      <c r="E395" s="17" t="s">
        <v>46</v>
      </c>
      <c r="F395" s="16">
        <v>42857.696145833332</v>
      </c>
      <c r="G395" s="16"/>
      <c r="H395" s="16"/>
      <c r="I395" s="11">
        <v>395</v>
      </c>
    </row>
    <row r="396" spans="1:9" x14ac:dyDescent="0.2">
      <c r="A396" s="17" t="s">
        <v>160</v>
      </c>
      <c r="B396" s="17" t="s">
        <v>37</v>
      </c>
      <c r="C396" s="16">
        <v>42857.695486111108</v>
      </c>
      <c r="D396" s="17" t="s">
        <v>6</v>
      </c>
      <c r="E396" s="17" t="s">
        <v>49</v>
      </c>
      <c r="F396" s="16">
        <v>42858.32199074074</v>
      </c>
      <c r="G396" s="16"/>
      <c r="H396" s="16"/>
      <c r="I396" s="11">
        <v>396</v>
      </c>
    </row>
    <row r="397" spans="1:9" x14ac:dyDescent="0.2">
      <c r="A397" s="17" t="s">
        <v>160</v>
      </c>
      <c r="B397" s="17" t="s">
        <v>37</v>
      </c>
      <c r="C397" s="16">
        <v>42857.695486111108</v>
      </c>
      <c r="D397" s="17" t="s">
        <v>5</v>
      </c>
      <c r="E397" s="17" t="s">
        <v>41</v>
      </c>
      <c r="F397" s="16">
        <v>42864.588761574072</v>
      </c>
      <c r="G397" s="16"/>
      <c r="H397" s="16"/>
      <c r="I397" s="11">
        <v>397</v>
      </c>
    </row>
    <row r="398" spans="1:9" x14ac:dyDescent="0.2">
      <c r="A398" s="17" t="s">
        <v>160</v>
      </c>
      <c r="B398" s="17" t="s">
        <v>37</v>
      </c>
      <c r="C398" s="16">
        <v>42857.695486111108</v>
      </c>
      <c r="D398" s="17" t="s">
        <v>6</v>
      </c>
      <c r="E398" s="17" t="s">
        <v>61</v>
      </c>
      <c r="F398" s="16">
        <v>42864.623113425929</v>
      </c>
      <c r="G398" s="16"/>
      <c r="H398" s="16"/>
      <c r="I398" s="11">
        <v>398</v>
      </c>
    </row>
    <row r="399" spans="1:9" x14ac:dyDescent="0.2">
      <c r="A399" s="17" t="s">
        <v>159</v>
      </c>
      <c r="B399" s="17" t="s">
        <v>37</v>
      </c>
      <c r="C399" s="16">
        <v>42857.70758101852</v>
      </c>
      <c r="D399" s="17" t="s">
        <v>5</v>
      </c>
      <c r="E399" s="17" t="s">
        <v>40</v>
      </c>
      <c r="F399" s="16">
        <v>42857.707662037035</v>
      </c>
      <c r="G399" s="16"/>
      <c r="H399" s="16"/>
      <c r="I399" s="11">
        <v>399</v>
      </c>
    </row>
    <row r="400" spans="1:9" x14ac:dyDescent="0.2">
      <c r="A400" s="17" t="s">
        <v>159</v>
      </c>
      <c r="B400" s="17" t="s">
        <v>37</v>
      </c>
      <c r="C400" s="16">
        <v>42857.70758101852</v>
      </c>
      <c r="D400" s="17" t="s">
        <v>5</v>
      </c>
      <c r="E400" s="17" t="s">
        <v>51</v>
      </c>
      <c r="F400" s="16">
        <v>42857.708009259259</v>
      </c>
      <c r="G400" s="16"/>
      <c r="H400" s="16"/>
      <c r="I400" s="11">
        <v>400</v>
      </c>
    </row>
    <row r="401" spans="1:9" x14ac:dyDescent="0.2">
      <c r="A401" s="17" t="s">
        <v>158</v>
      </c>
      <c r="B401" s="17" t="s">
        <v>37</v>
      </c>
      <c r="C401" s="16">
        <v>42858.430347222224</v>
      </c>
      <c r="D401" s="17" t="s">
        <v>5</v>
      </c>
      <c r="E401" s="17" t="s">
        <v>40</v>
      </c>
      <c r="F401" s="16">
        <v>42858.430347222224</v>
      </c>
      <c r="G401" s="16"/>
      <c r="H401" s="16"/>
      <c r="I401" s="11">
        <v>401</v>
      </c>
    </row>
    <row r="402" spans="1:9" x14ac:dyDescent="0.2">
      <c r="A402" s="17" t="s">
        <v>158</v>
      </c>
      <c r="B402" s="17" t="s">
        <v>37</v>
      </c>
      <c r="C402" s="16">
        <v>42858.430347222224</v>
      </c>
      <c r="D402" s="17" t="s">
        <v>5</v>
      </c>
      <c r="E402" s="17" t="s">
        <v>36</v>
      </c>
      <c r="F402" s="16">
        <v>42858.434583333335</v>
      </c>
      <c r="G402" s="16"/>
      <c r="H402" s="16"/>
      <c r="I402" s="11">
        <v>402</v>
      </c>
    </row>
    <row r="403" spans="1:9" x14ac:dyDescent="0.2">
      <c r="A403" s="17" t="s">
        <v>158</v>
      </c>
      <c r="B403" s="17" t="s">
        <v>37</v>
      </c>
      <c r="C403" s="16">
        <v>42858.430347222224</v>
      </c>
      <c r="D403" s="17" t="s">
        <v>5</v>
      </c>
      <c r="E403" s="17" t="s">
        <v>51</v>
      </c>
      <c r="F403" s="16">
        <v>42858.516736111109</v>
      </c>
      <c r="G403" s="16"/>
      <c r="H403" s="16"/>
      <c r="I403" s="11">
        <v>403</v>
      </c>
    </row>
    <row r="404" spans="1:9" x14ac:dyDescent="0.2">
      <c r="A404" s="17" t="s">
        <v>158</v>
      </c>
      <c r="B404" s="17" t="s">
        <v>37</v>
      </c>
      <c r="C404" s="16">
        <v>42858.430347222224</v>
      </c>
      <c r="D404" s="17" t="s">
        <v>6</v>
      </c>
      <c r="E404" s="17" t="s">
        <v>147</v>
      </c>
      <c r="F404" s="16">
        <v>42858.576064814813</v>
      </c>
      <c r="G404" s="16"/>
      <c r="H404" s="16"/>
      <c r="I404" s="11">
        <v>404</v>
      </c>
    </row>
    <row r="405" spans="1:9" x14ac:dyDescent="0.2">
      <c r="A405" s="17" t="s">
        <v>157</v>
      </c>
      <c r="B405" s="17" t="s">
        <v>37</v>
      </c>
      <c r="C405" s="16">
        <v>42859.630381944444</v>
      </c>
      <c r="D405" s="17" t="s">
        <v>5</v>
      </c>
      <c r="E405" s="17" t="s">
        <v>40</v>
      </c>
      <c r="F405" s="16">
        <v>42859.630393518521</v>
      </c>
      <c r="G405" s="16"/>
      <c r="H405" s="16"/>
      <c r="I405" s="11">
        <v>405</v>
      </c>
    </row>
    <row r="406" spans="1:9" x14ac:dyDescent="0.2">
      <c r="A406" s="17" t="s">
        <v>157</v>
      </c>
      <c r="B406" s="17" t="s">
        <v>37</v>
      </c>
      <c r="C406" s="16">
        <v>42859.630381944444</v>
      </c>
      <c r="D406" s="17" t="s">
        <v>5</v>
      </c>
      <c r="E406" s="17" t="s">
        <v>36</v>
      </c>
      <c r="F406" s="16">
        <v>42859.631111111114</v>
      </c>
      <c r="G406" s="16"/>
      <c r="H406" s="16"/>
      <c r="I406" s="11">
        <v>406</v>
      </c>
    </row>
    <row r="407" spans="1:9" x14ac:dyDescent="0.2">
      <c r="A407" s="17" t="s">
        <v>157</v>
      </c>
      <c r="B407" s="17" t="s">
        <v>37</v>
      </c>
      <c r="C407" s="16">
        <v>42859.630381944444</v>
      </c>
      <c r="D407" s="17" t="s">
        <v>6</v>
      </c>
      <c r="E407" s="17" t="s">
        <v>47</v>
      </c>
      <c r="F407" s="16">
        <v>42859.733449074076</v>
      </c>
      <c r="G407" s="16"/>
      <c r="H407" s="16"/>
      <c r="I407" s="11">
        <v>407</v>
      </c>
    </row>
    <row r="408" spans="1:9" x14ac:dyDescent="0.2">
      <c r="A408" s="17" t="s">
        <v>157</v>
      </c>
      <c r="B408" s="17" t="s">
        <v>37</v>
      </c>
      <c r="C408" s="16">
        <v>42859.630381944444</v>
      </c>
      <c r="D408" s="17" t="s">
        <v>6</v>
      </c>
      <c r="E408" s="17" t="s">
        <v>86</v>
      </c>
      <c r="F408" s="16">
        <v>42863.458865740744</v>
      </c>
      <c r="G408" s="16"/>
      <c r="H408" s="16"/>
      <c r="I408" s="11">
        <v>408</v>
      </c>
    </row>
    <row r="409" spans="1:9" x14ac:dyDescent="0.2">
      <c r="A409" s="17" t="s">
        <v>157</v>
      </c>
      <c r="B409" s="17" t="s">
        <v>37</v>
      </c>
      <c r="C409" s="16">
        <v>42859.630381944444</v>
      </c>
      <c r="D409" s="17" t="s">
        <v>5</v>
      </c>
      <c r="E409" s="17" t="s">
        <v>46</v>
      </c>
      <c r="F409" s="16">
        <v>42864.649085648147</v>
      </c>
      <c r="G409" s="16"/>
      <c r="H409" s="16"/>
      <c r="I409" s="11">
        <v>409</v>
      </c>
    </row>
    <row r="410" spans="1:9" x14ac:dyDescent="0.2">
      <c r="A410" s="17" t="s">
        <v>157</v>
      </c>
      <c r="B410" s="17" t="s">
        <v>37</v>
      </c>
      <c r="C410" s="16">
        <v>42859.630381944444</v>
      </c>
      <c r="D410" s="17" t="s">
        <v>6</v>
      </c>
      <c r="E410" s="17" t="s">
        <v>82</v>
      </c>
      <c r="F410" s="16">
        <v>42865.314085648148</v>
      </c>
      <c r="G410" s="16"/>
      <c r="H410" s="16"/>
      <c r="I410" s="11">
        <v>410</v>
      </c>
    </row>
    <row r="411" spans="1:9" x14ac:dyDescent="0.2">
      <c r="A411" s="17" t="s">
        <v>156</v>
      </c>
      <c r="B411" s="17" t="s">
        <v>37</v>
      </c>
      <c r="C411" s="16">
        <v>42860.66333333333</v>
      </c>
      <c r="D411" s="17" t="s">
        <v>5</v>
      </c>
      <c r="E411" s="17" t="s">
        <v>40</v>
      </c>
      <c r="F411" s="16">
        <v>42860.66333333333</v>
      </c>
      <c r="G411" s="16"/>
      <c r="H411" s="16"/>
      <c r="I411" s="11">
        <v>411</v>
      </c>
    </row>
    <row r="412" spans="1:9" x14ac:dyDescent="0.2">
      <c r="A412" s="17" t="s">
        <v>156</v>
      </c>
      <c r="B412" s="17" t="s">
        <v>37</v>
      </c>
      <c r="C412" s="16">
        <v>42860.66333333333</v>
      </c>
      <c r="D412" s="17" t="s">
        <v>5</v>
      </c>
      <c r="E412" s="17" t="s">
        <v>36</v>
      </c>
      <c r="F412" s="16">
        <v>42860.667384259257</v>
      </c>
      <c r="G412" s="16"/>
      <c r="H412" s="16"/>
      <c r="I412" s="11">
        <v>412</v>
      </c>
    </row>
    <row r="413" spans="1:9" x14ac:dyDescent="0.2">
      <c r="A413" s="17" t="s">
        <v>156</v>
      </c>
      <c r="B413" s="17" t="s">
        <v>37</v>
      </c>
      <c r="C413" s="16">
        <v>42860.66333333333</v>
      </c>
      <c r="D413" s="17" t="s">
        <v>6</v>
      </c>
      <c r="E413" s="17" t="s">
        <v>86</v>
      </c>
      <c r="F413" s="16">
        <v>42860.679178240738</v>
      </c>
      <c r="G413" s="16"/>
      <c r="H413" s="16"/>
      <c r="I413" s="11">
        <v>413</v>
      </c>
    </row>
    <row r="414" spans="1:9" x14ac:dyDescent="0.2">
      <c r="A414" s="17" t="s">
        <v>156</v>
      </c>
      <c r="B414" s="17" t="s">
        <v>37</v>
      </c>
      <c r="C414" s="16">
        <v>42860.66333333333</v>
      </c>
      <c r="D414" s="17" t="s">
        <v>5</v>
      </c>
      <c r="E414" s="17" t="s">
        <v>46</v>
      </c>
      <c r="F414" s="16">
        <v>42863.382326388892</v>
      </c>
      <c r="G414" s="16"/>
      <c r="H414" s="16"/>
      <c r="I414" s="11">
        <v>414</v>
      </c>
    </row>
    <row r="415" spans="1:9" x14ac:dyDescent="0.2">
      <c r="A415" s="17" t="s">
        <v>156</v>
      </c>
      <c r="B415" s="17" t="s">
        <v>37</v>
      </c>
      <c r="C415" s="16">
        <v>42860.66333333333</v>
      </c>
      <c r="D415" s="17" t="s">
        <v>6</v>
      </c>
      <c r="E415" s="17" t="s">
        <v>82</v>
      </c>
      <c r="F415" s="16">
        <v>42863.418287037035</v>
      </c>
      <c r="G415" s="16"/>
      <c r="H415" s="16"/>
      <c r="I415" s="11">
        <v>415</v>
      </c>
    </row>
    <row r="416" spans="1:9" x14ac:dyDescent="0.2">
      <c r="A416" s="17" t="s">
        <v>154</v>
      </c>
      <c r="B416" s="17" t="s">
        <v>65</v>
      </c>
      <c r="C416" s="16">
        <v>42860.725914351853</v>
      </c>
      <c r="D416" s="17" t="s">
        <v>5</v>
      </c>
      <c r="E416" s="17" t="s">
        <v>40</v>
      </c>
      <c r="F416" s="16">
        <v>42860.725949074076</v>
      </c>
      <c r="G416" s="16"/>
      <c r="H416" s="16"/>
      <c r="I416" s="11">
        <v>416</v>
      </c>
    </row>
    <row r="417" spans="1:9" x14ac:dyDescent="0.2">
      <c r="A417" s="17" t="s">
        <v>154</v>
      </c>
      <c r="B417" s="17" t="s">
        <v>65</v>
      </c>
      <c r="C417" s="16">
        <v>42860.725914351853</v>
      </c>
      <c r="D417" s="17" t="s">
        <v>5</v>
      </c>
      <c r="E417" s="17" t="s">
        <v>36</v>
      </c>
      <c r="F417" s="16">
        <v>42860.727696759262</v>
      </c>
      <c r="G417" s="16"/>
      <c r="H417" s="16"/>
      <c r="I417" s="11">
        <v>417</v>
      </c>
    </row>
    <row r="418" spans="1:9" x14ac:dyDescent="0.2">
      <c r="A418" s="17" t="s">
        <v>154</v>
      </c>
      <c r="B418" s="17" t="s">
        <v>65</v>
      </c>
      <c r="C418" s="16">
        <v>42860.725914351853</v>
      </c>
      <c r="D418" s="17" t="s">
        <v>6</v>
      </c>
      <c r="E418" s="17" t="s">
        <v>39</v>
      </c>
      <c r="F418" s="16">
        <v>42860.727696759262</v>
      </c>
      <c r="G418" s="16"/>
      <c r="H418" s="16"/>
      <c r="I418" s="11">
        <v>418</v>
      </c>
    </row>
    <row r="419" spans="1:9" x14ac:dyDescent="0.2">
      <c r="A419" s="17" t="s">
        <v>154</v>
      </c>
      <c r="B419" s="17" t="s">
        <v>65</v>
      </c>
      <c r="C419" s="16">
        <v>42860.725914351853</v>
      </c>
      <c r="D419" s="17" t="s">
        <v>6</v>
      </c>
      <c r="E419" s="17" t="s">
        <v>155</v>
      </c>
      <c r="F419" s="16">
        <v>42864.430902777778</v>
      </c>
      <c r="G419" s="16"/>
      <c r="H419" s="16"/>
      <c r="I419" s="11">
        <v>419</v>
      </c>
    </row>
    <row r="420" spans="1:9" x14ac:dyDescent="0.2">
      <c r="A420" s="17" t="s">
        <v>154</v>
      </c>
      <c r="B420" s="17" t="s">
        <v>65</v>
      </c>
      <c r="C420" s="16">
        <v>42860.725914351853</v>
      </c>
      <c r="D420" s="17" t="s">
        <v>5</v>
      </c>
      <c r="E420" s="17" t="s">
        <v>46</v>
      </c>
      <c r="F420" s="16">
        <v>42864.434641203705</v>
      </c>
      <c r="G420" s="16"/>
      <c r="H420" s="16"/>
      <c r="I420" s="11">
        <v>420</v>
      </c>
    </row>
    <row r="421" spans="1:9" x14ac:dyDescent="0.2">
      <c r="A421" s="17" t="s">
        <v>154</v>
      </c>
      <c r="B421" s="17" t="s">
        <v>65</v>
      </c>
      <c r="C421" s="16">
        <v>42860.725914351853</v>
      </c>
      <c r="D421" s="17" t="s">
        <v>6</v>
      </c>
      <c r="E421" s="17" t="s">
        <v>44</v>
      </c>
      <c r="F421" s="16">
        <v>42866.598275462966</v>
      </c>
      <c r="G421" s="16"/>
      <c r="H421" s="16"/>
      <c r="I421" s="11">
        <v>421</v>
      </c>
    </row>
    <row r="422" spans="1:9" x14ac:dyDescent="0.2">
      <c r="A422" s="17" t="s">
        <v>152</v>
      </c>
      <c r="B422" s="17" t="s">
        <v>37</v>
      </c>
      <c r="C422" s="16">
        <v>42864.451967592591</v>
      </c>
      <c r="D422" s="17" t="s">
        <v>5</v>
      </c>
      <c r="E422" s="17" t="s">
        <v>40</v>
      </c>
      <c r="F422" s="16">
        <v>42864.452002314814</v>
      </c>
      <c r="G422" s="16"/>
      <c r="H422" s="16"/>
      <c r="I422" s="11">
        <v>422</v>
      </c>
    </row>
    <row r="423" spans="1:9" x14ac:dyDescent="0.2">
      <c r="A423" s="17" t="s">
        <v>152</v>
      </c>
      <c r="B423" s="17" t="s">
        <v>37</v>
      </c>
      <c r="C423" s="16">
        <v>42864.451967592591</v>
      </c>
      <c r="D423" s="17" t="s">
        <v>5</v>
      </c>
      <c r="E423" s="17" t="s">
        <v>36</v>
      </c>
      <c r="F423" s="16">
        <v>42864.461886574078</v>
      </c>
      <c r="G423" s="16"/>
      <c r="H423" s="16"/>
      <c r="I423" s="11">
        <v>423</v>
      </c>
    </row>
    <row r="424" spans="1:9" x14ac:dyDescent="0.2">
      <c r="A424" s="17" t="s">
        <v>152</v>
      </c>
      <c r="B424" s="17" t="s">
        <v>37</v>
      </c>
      <c r="C424" s="16">
        <v>42864.451967592591</v>
      </c>
      <c r="D424" s="17" t="s">
        <v>6</v>
      </c>
      <c r="E424" s="17" t="s">
        <v>60</v>
      </c>
      <c r="F424" s="16">
        <v>42864.461886574078</v>
      </c>
      <c r="G424" s="16"/>
      <c r="H424" s="16"/>
      <c r="I424" s="11">
        <v>424</v>
      </c>
    </row>
    <row r="425" spans="1:9" x14ac:dyDescent="0.2">
      <c r="A425" s="17" t="s">
        <v>152</v>
      </c>
      <c r="B425" s="17" t="s">
        <v>37</v>
      </c>
      <c r="C425" s="16">
        <v>42864.451967592591</v>
      </c>
      <c r="D425" s="17" t="s">
        <v>5</v>
      </c>
      <c r="E425" s="17" t="s">
        <v>46</v>
      </c>
      <c r="F425" s="16">
        <v>42871.570150462961</v>
      </c>
      <c r="G425" s="16"/>
      <c r="H425" s="16"/>
      <c r="I425" s="11">
        <v>425</v>
      </c>
    </row>
    <row r="426" spans="1:9" x14ac:dyDescent="0.2">
      <c r="A426" s="17" t="s">
        <v>152</v>
      </c>
      <c r="B426" s="17" t="s">
        <v>37</v>
      </c>
      <c r="C426" s="16">
        <v>42864.451967592591</v>
      </c>
      <c r="D426" s="17" t="s">
        <v>6</v>
      </c>
      <c r="E426" s="17" t="s">
        <v>49</v>
      </c>
      <c r="F426" s="16">
        <v>42871.587800925925</v>
      </c>
      <c r="G426" s="16"/>
      <c r="H426" s="16"/>
      <c r="I426" s="11">
        <v>426</v>
      </c>
    </row>
    <row r="427" spans="1:9" x14ac:dyDescent="0.2">
      <c r="A427" s="17" t="s">
        <v>152</v>
      </c>
      <c r="B427" s="17" t="s">
        <v>37</v>
      </c>
      <c r="C427" s="16">
        <v>42864.451967592591</v>
      </c>
      <c r="D427" s="17" t="s">
        <v>5</v>
      </c>
      <c r="E427" s="17" t="s">
        <v>153</v>
      </c>
      <c r="F427" s="16">
        <v>42874.602430555555</v>
      </c>
      <c r="G427" s="16"/>
      <c r="H427" s="16"/>
      <c r="I427" s="11">
        <v>427</v>
      </c>
    </row>
    <row r="428" spans="1:9" ht="25.5" x14ac:dyDescent="0.2">
      <c r="A428" s="17" t="s">
        <v>152</v>
      </c>
      <c r="B428" s="17" t="s">
        <v>37</v>
      </c>
      <c r="C428" s="16">
        <v>42864.451967592591</v>
      </c>
      <c r="D428" s="17" t="s">
        <v>6</v>
      </c>
      <c r="E428" s="17" t="s">
        <v>151</v>
      </c>
      <c r="F428" s="16">
        <v>42878.608344907407</v>
      </c>
      <c r="G428" s="16"/>
      <c r="H428" s="16"/>
      <c r="I428" s="11">
        <v>428</v>
      </c>
    </row>
    <row r="429" spans="1:9" x14ac:dyDescent="0.2">
      <c r="A429" s="17" t="s">
        <v>150</v>
      </c>
      <c r="B429" s="17" t="s">
        <v>37</v>
      </c>
      <c r="C429" s="16">
        <v>42866.630115740743</v>
      </c>
      <c r="D429" s="17" t="s">
        <v>5</v>
      </c>
      <c r="E429" s="17" t="s">
        <v>40</v>
      </c>
      <c r="F429" s="16">
        <v>42866.630162037036</v>
      </c>
      <c r="G429" s="16">
        <v>42877.485937500001</v>
      </c>
      <c r="H429" s="16"/>
      <c r="I429" s="11">
        <v>429</v>
      </c>
    </row>
    <row r="430" spans="1:9" x14ac:dyDescent="0.2">
      <c r="A430" s="17" t="s">
        <v>150</v>
      </c>
      <c r="B430" s="17" t="s">
        <v>37</v>
      </c>
      <c r="C430" s="16">
        <v>42866.630115740743</v>
      </c>
      <c r="D430" s="17" t="s">
        <v>5</v>
      </c>
      <c r="E430" s="17" t="s">
        <v>36</v>
      </c>
      <c r="F430" s="16">
        <v>42866.63208333333</v>
      </c>
      <c r="G430" s="16">
        <v>42877.485937500001</v>
      </c>
      <c r="H430" s="16"/>
      <c r="I430" s="11">
        <v>430</v>
      </c>
    </row>
    <row r="431" spans="1:9" x14ac:dyDescent="0.2">
      <c r="A431" s="17" t="s">
        <v>150</v>
      </c>
      <c r="B431" s="17" t="s">
        <v>37</v>
      </c>
      <c r="C431" s="16">
        <v>42866.630115740743</v>
      </c>
      <c r="D431" s="17" t="s">
        <v>6</v>
      </c>
      <c r="E431" s="17" t="s">
        <v>39</v>
      </c>
      <c r="F431" s="16">
        <v>42866.750474537039</v>
      </c>
      <c r="G431" s="16">
        <v>42877.485937500001</v>
      </c>
      <c r="H431" s="16"/>
      <c r="I431" s="11">
        <v>431</v>
      </c>
    </row>
    <row r="432" spans="1:9" x14ac:dyDescent="0.2">
      <c r="A432" s="17" t="s">
        <v>150</v>
      </c>
      <c r="B432" s="17" t="s">
        <v>37</v>
      </c>
      <c r="C432" s="16">
        <v>42866.630115740743</v>
      </c>
      <c r="D432" s="17" t="s">
        <v>5</v>
      </c>
      <c r="E432" s="17" t="s">
        <v>41</v>
      </c>
      <c r="F432" s="16">
        <v>42867.428912037038</v>
      </c>
      <c r="G432" s="16">
        <v>42877.485937500001</v>
      </c>
      <c r="H432" s="16"/>
      <c r="I432" s="11">
        <v>432</v>
      </c>
    </row>
    <row r="433" spans="1:9" x14ac:dyDescent="0.2">
      <c r="A433" s="17" t="s">
        <v>150</v>
      </c>
      <c r="B433" s="17" t="s">
        <v>37</v>
      </c>
      <c r="C433" s="16">
        <v>42866.630115740743</v>
      </c>
      <c r="D433" s="17" t="s">
        <v>6</v>
      </c>
      <c r="E433" s="17" t="s">
        <v>61</v>
      </c>
      <c r="F433" s="16">
        <v>42870.658136574071</v>
      </c>
      <c r="G433" s="16">
        <v>42877.485937500001</v>
      </c>
      <c r="H433" s="16"/>
      <c r="I433" s="11">
        <v>433</v>
      </c>
    </row>
    <row r="434" spans="1:9" x14ac:dyDescent="0.2">
      <c r="A434" s="17" t="s">
        <v>149</v>
      </c>
      <c r="B434" s="17" t="s">
        <v>37</v>
      </c>
      <c r="C434" s="16">
        <v>42870.439849537041</v>
      </c>
      <c r="D434" s="17" t="s">
        <v>5</v>
      </c>
      <c r="E434" s="17" t="s">
        <v>40</v>
      </c>
      <c r="F434" s="16">
        <v>42870.439884259256</v>
      </c>
      <c r="G434" s="16"/>
      <c r="H434" s="16"/>
      <c r="I434" s="11">
        <v>434</v>
      </c>
    </row>
    <row r="435" spans="1:9" x14ac:dyDescent="0.2">
      <c r="A435" s="17" t="s">
        <v>149</v>
      </c>
      <c r="B435" s="17" t="s">
        <v>37</v>
      </c>
      <c r="C435" s="16">
        <v>42870.439849537041</v>
      </c>
      <c r="D435" s="17" t="s">
        <v>5</v>
      </c>
      <c r="E435" s="17" t="s">
        <v>41</v>
      </c>
      <c r="F435" s="16">
        <v>42870.44054398148</v>
      </c>
      <c r="G435" s="16"/>
      <c r="H435" s="16"/>
      <c r="I435" s="11">
        <v>435</v>
      </c>
    </row>
    <row r="436" spans="1:9" x14ac:dyDescent="0.2">
      <c r="A436" s="17" t="s">
        <v>149</v>
      </c>
      <c r="B436" s="17" t="s">
        <v>37</v>
      </c>
      <c r="C436" s="16">
        <v>42870.439849537041</v>
      </c>
      <c r="D436" s="17" t="s">
        <v>6</v>
      </c>
      <c r="E436" s="17" t="s">
        <v>61</v>
      </c>
      <c r="F436" s="16">
        <v>42871.578090277777</v>
      </c>
      <c r="G436" s="16"/>
      <c r="H436" s="16"/>
      <c r="I436" s="11">
        <v>436</v>
      </c>
    </row>
    <row r="437" spans="1:9" x14ac:dyDescent="0.2">
      <c r="A437" s="17" t="s">
        <v>148</v>
      </c>
      <c r="B437" s="17" t="s">
        <v>37</v>
      </c>
      <c r="C437" s="16">
        <v>42870.559537037036</v>
      </c>
      <c r="D437" s="17" t="s">
        <v>5</v>
      </c>
      <c r="E437" s="17" t="s">
        <v>40</v>
      </c>
      <c r="F437" s="16">
        <v>42870.559571759259</v>
      </c>
      <c r="G437" s="16"/>
      <c r="H437" s="16"/>
      <c r="I437" s="11">
        <v>437</v>
      </c>
    </row>
    <row r="438" spans="1:9" x14ac:dyDescent="0.2">
      <c r="A438" s="17" t="s">
        <v>148</v>
      </c>
      <c r="B438" s="17" t="s">
        <v>37</v>
      </c>
      <c r="C438" s="16">
        <v>42870.559537037036</v>
      </c>
      <c r="D438" s="17" t="s">
        <v>5</v>
      </c>
      <c r="E438" s="17" t="s">
        <v>51</v>
      </c>
      <c r="F438" s="16">
        <v>42870.561400462961</v>
      </c>
      <c r="G438" s="16"/>
      <c r="H438" s="16"/>
      <c r="I438" s="11">
        <v>438</v>
      </c>
    </row>
    <row r="439" spans="1:9" x14ac:dyDescent="0.2">
      <c r="A439" s="17" t="s">
        <v>148</v>
      </c>
      <c r="B439" s="17" t="s">
        <v>37</v>
      </c>
      <c r="C439" s="16">
        <v>42870.559537037036</v>
      </c>
      <c r="D439" s="17" t="s">
        <v>6</v>
      </c>
      <c r="E439" s="17" t="s">
        <v>147</v>
      </c>
      <c r="F439" s="16">
        <v>42870.571250000001</v>
      </c>
      <c r="G439" s="16"/>
      <c r="H439" s="16"/>
      <c r="I439" s="11">
        <v>439</v>
      </c>
    </row>
    <row r="440" spans="1:9" x14ac:dyDescent="0.2">
      <c r="A440" s="17" t="s">
        <v>146</v>
      </c>
      <c r="B440" s="17" t="s">
        <v>37</v>
      </c>
      <c r="C440" s="16">
        <v>42870.653738425928</v>
      </c>
      <c r="D440" s="17" t="s">
        <v>5</v>
      </c>
      <c r="E440" s="17" t="s">
        <v>40</v>
      </c>
      <c r="F440" s="16">
        <v>42870.653761574074</v>
      </c>
      <c r="G440" s="16"/>
      <c r="H440" s="16"/>
      <c r="I440" s="11">
        <v>440</v>
      </c>
    </row>
    <row r="441" spans="1:9" x14ac:dyDescent="0.2">
      <c r="A441" s="17" t="s">
        <v>146</v>
      </c>
      <c r="B441" s="17" t="s">
        <v>37</v>
      </c>
      <c r="C441" s="16">
        <v>42870.653738425928</v>
      </c>
      <c r="D441" s="17" t="s">
        <v>5</v>
      </c>
      <c r="E441" s="17" t="s">
        <v>46</v>
      </c>
      <c r="F441" s="16">
        <v>42870.656076388892</v>
      </c>
      <c r="G441" s="16"/>
      <c r="H441" s="16"/>
      <c r="I441" s="11">
        <v>441</v>
      </c>
    </row>
    <row r="442" spans="1:9" x14ac:dyDescent="0.2">
      <c r="A442" s="17" t="s">
        <v>146</v>
      </c>
      <c r="B442" s="17" t="s">
        <v>37</v>
      </c>
      <c r="C442" s="16">
        <v>42870.653738425928</v>
      </c>
      <c r="D442" s="17" t="s">
        <v>6</v>
      </c>
      <c r="E442" s="17" t="s">
        <v>49</v>
      </c>
      <c r="F442" s="16">
        <v>42870.686956018515</v>
      </c>
      <c r="G442" s="16"/>
      <c r="H442" s="16"/>
      <c r="I442" s="11">
        <v>442</v>
      </c>
    </row>
    <row r="443" spans="1:9" x14ac:dyDescent="0.2">
      <c r="A443" s="17" t="s">
        <v>146</v>
      </c>
      <c r="B443" s="17" t="s">
        <v>37</v>
      </c>
      <c r="C443" s="16">
        <v>42870.653738425928</v>
      </c>
      <c r="D443" s="17" t="s">
        <v>6</v>
      </c>
      <c r="E443" s="17" t="s">
        <v>44</v>
      </c>
      <c r="F443" s="16">
        <v>42881.776423611111</v>
      </c>
      <c r="G443" s="16"/>
      <c r="H443" s="16"/>
      <c r="I443" s="11">
        <v>443</v>
      </c>
    </row>
    <row r="444" spans="1:9" x14ac:dyDescent="0.2">
      <c r="A444" s="17" t="s">
        <v>145</v>
      </c>
      <c r="B444" s="17" t="s">
        <v>37</v>
      </c>
      <c r="C444" s="16">
        <v>42870.669236111113</v>
      </c>
      <c r="D444" s="17" t="s">
        <v>5</v>
      </c>
      <c r="E444" s="17" t="s">
        <v>40</v>
      </c>
      <c r="F444" s="16">
        <v>42870.669305555559</v>
      </c>
      <c r="G444" s="16">
        <v>42870.833993055552</v>
      </c>
      <c r="H444" s="16"/>
      <c r="I444" s="11">
        <v>444</v>
      </c>
    </row>
    <row r="445" spans="1:9" x14ac:dyDescent="0.2">
      <c r="A445" s="17" t="s">
        <v>145</v>
      </c>
      <c r="B445" s="17" t="s">
        <v>37</v>
      </c>
      <c r="C445" s="16">
        <v>42870.669236111113</v>
      </c>
      <c r="D445" s="17" t="s">
        <v>5</v>
      </c>
      <c r="E445" s="17" t="s">
        <v>36</v>
      </c>
      <c r="F445" s="16">
        <v>42870.670115740744</v>
      </c>
      <c r="G445" s="16">
        <v>42870.833993055552</v>
      </c>
      <c r="H445" s="16"/>
      <c r="I445" s="11">
        <v>445</v>
      </c>
    </row>
    <row r="446" spans="1:9" x14ac:dyDescent="0.2">
      <c r="A446" s="17" t="s">
        <v>145</v>
      </c>
      <c r="B446" s="17" t="s">
        <v>37</v>
      </c>
      <c r="C446" s="16">
        <v>42870.669236111113</v>
      </c>
      <c r="D446" s="17" t="s">
        <v>6</v>
      </c>
      <c r="E446" s="17" t="s">
        <v>47</v>
      </c>
      <c r="F446" s="16">
        <v>42870.686736111114</v>
      </c>
      <c r="G446" s="16">
        <v>42870.833993055552</v>
      </c>
      <c r="H446" s="16"/>
      <c r="I446" s="11">
        <v>446</v>
      </c>
    </row>
    <row r="447" spans="1:9" x14ac:dyDescent="0.2">
      <c r="A447" s="17" t="s">
        <v>145</v>
      </c>
      <c r="B447" s="17" t="s">
        <v>37</v>
      </c>
      <c r="C447" s="16">
        <v>42870.669236111113</v>
      </c>
      <c r="D447" s="17" t="s">
        <v>5</v>
      </c>
      <c r="E447" s="17" t="s">
        <v>46</v>
      </c>
      <c r="F447" s="16">
        <v>42870.687303240738</v>
      </c>
      <c r="G447" s="16">
        <v>42870.833993055552</v>
      </c>
      <c r="H447" s="16"/>
      <c r="I447" s="11">
        <v>447</v>
      </c>
    </row>
    <row r="448" spans="1:9" x14ac:dyDescent="0.2">
      <c r="A448" s="17" t="s">
        <v>145</v>
      </c>
      <c r="B448" s="17" t="s">
        <v>37</v>
      </c>
      <c r="C448" s="16">
        <v>42870.669236111113</v>
      </c>
      <c r="D448" s="17" t="s">
        <v>6</v>
      </c>
      <c r="E448" s="17" t="s">
        <v>107</v>
      </c>
      <c r="F448" s="16">
        <v>42870.689039351855</v>
      </c>
      <c r="G448" s="16">
        <v>42870.833993055552</v>
      </c>
      <c r="H448" s="16"/>
      <c r="I448" s="11">
        <v>448</v>
      </c>
    </row>
    <row r="449" spans="1:9" x14ac:dyDescent="0.2">
      <c r="A449" s="17" t="s">
        <v>144</v>
      </c>
      <c r="B449" s="17" t="s">
        <v>65</v>
      </c>
      <c r="C449" s="16">
        <v>42870.730717592596</v>
      </c>
      <c r="D449" s="17" t="s">
        <v>5</v>
      </c>
      <c r="E449" s="17" t="s">
        <v>40</v>
      </c>
      <c r="F449" s="16">
        <v>42870.730740740742</v>
      </c>
      <c r="G449" s="16"/>
      <c r="H449" s="16"/>
      <c r="I449" s="11">
        <v>449</v>
      </c>
    </row>
    <row r="450" spans="1:9" x14ac:dyDescent="0.2">
      <c r="A450" s="17" t="s">
        <v>144</v>
      </c>
      <c r="B450" s="17" t="s">
        <v>65</v>
      </c>
      <c r="C450" s="16">
        <v>42870.730717592596</v>
      </c>
      <c r="D450" s="17" t="s">
        <v>5</v>
      </c>
      <c r="E450" s="17" t="s">
        <v>36</v>
      </c>
      <c r="F450" s="16">
        <v>42870.733993055554</v>
      </c>
      <c r="G450" s="16"/>
      <c r="H450" s="16"/>
      <c r="I450" s="11">
        <v>450</v>
      </c>
    </row>
    <row r="451" spans="1:9" x14ac:dyDescent="0.2">
      <c r="A451" s="17" t="s">
        <v>144</v>
      </c>
      <c r="B451" s="17" t="s">
        <v>65</v>
      </c>
      <c r="C451" s="16">
        <v>42870.730717592596</v>
      </c>
      <c r="D451" s="17" t="s">
        <v>6</v>
      </c>
      <c r="E451" s="17" t="s">
        <v>92</v>
      </c>
      <c r="F451" s="16">
        <v>42870.733993055554</v>
      </c>
      <c r="G451" s="16"/>
      <c r="H451" s="16"/>
      <c r="I451" s="11">
        <v>451</v>
      </c>
    </row>
    <row r="452" spans="1:9" x14ac:dyDescent="0.2">
      <c r="A452" s="17" t="s">
        <v>144</v>
      </c>
      <c r="B452" s="17" t="s">
        <v>65</v>
      </c>
      <c r="C452" s="16">
        <v>42870.730717592596</v>
      </c>
      <c r="D452" s="17" t="s">
        <v>5</v>
      </c>
      <c r="E452" s="17" t="s">
        <v>41</v>
      </c>
      <c r="F452" s="16">
        <v>42871.442789351851</v>
      </c>
      <c r="G452" s="16"/>
      <c r="H452" s="16"/>
      <c r="I452" s="11">
        <v>452</v>
      </c>
    </row>
    <row r="453" spans="1:9" x14ac:dyDescent="0.2">
      <c r="A453" s="17" t="s">
        <v>144</v>
      </c>
      <c r="B453" s="17" t="s">
        <v>65</v>
      </c>
      <c r="C453" s="16">
        <v>42870.730717592596</v>
      </c>
      <c r="D453" s="17" t="s">
        <v>6</v>
      </c>
      <c r="E453" s="17" t="s">
        <v>61</v>
      </c>
      <c r="F453" s="16">
        <v>42873.582037037035</v>
      </c>
      <c r="G453" s="16"/>
      <c r="H453" s="16"/>
      <c r="I453" s="11">
        <v>453</v>
      </c>
    </row>
    <row r="454" spans="1:9" x14ac:dyDescent="0.2">
      <c r="A454" s="17" t="s">
        <v>143</v>
      </c>
      <c r="B454" s="17" t="s">
        <v>37</v>
      </c>
      <c r="C454" s="16">
        <v>42872.571157407408</v>
      </c>
      <c r="D454" s="17" t="s">
        <v>5</v>
      </c>
      <c r="E454" s="17" t="s">
        <v>40</v>
      </c>
      <c r="F454" s="16">
        <v>42872.571192129632</v>
      </c>
      <c r="G454" s="16">
        <v>42888.505289351851</v>
      </c>
      <c r="H454" s="16"/>
      <c r="I454" s="11">
        <v>454</v>
      </c>
    </row>
    <row r="455" spans="1:9" x14ac:dyDescent="0.2">
      <c r="A455" s="17" t="s">
        <v>143</v>
      </c>
      <c r="B455" s="17" t="s">
        <v>37</v>
      </c>
      <c r="C455" s="16">
        <v>42872.571157407408</v>
      </c>
      <c r="D455" s="17" t="s">
        <v>5</v>
      </c>
      <c r="E455" s="17" t="s">
        <v>36</v>
      </c>
      <c r="F455" s="16">
        <v>42872.575555555559</v>
      </c>
      <c r="G455" s="16">
        <v>42888.505289351851</v>
      </c>
      <c r="H455" s="16"/>
      <c r="I455" s="11">
        <v>455</v>
      </c>
    </row>
    <row r="456" spans="1:9" x14ac:dyDescent="0.2">
      <c r="A456" s="17" t="s">
        <v>143</v>
      </c>
      <c r="B456" s="17" t="s">
        <v>37</v>
      </c>
      <c r="C456" s="16">
        <v>42872.571157407408</v>
      </c>
      <c r="D456" s="17" t="s">
        <v>6</v>
      </c>
      <c r="E456" s="17" t="s">
        <v>39</v>
      </c>
      <c r="F456" s="16">
        <v>42872.576597222222</v>
      </c>
      <c r="G456" s="16">
        <v>42888.505289351851</v>
      </c>
      <c r="H456" s="16"/>
      <c r="I456" s="11">
        <v>456</v>
      </c>
    </row>
    <row r="457" spans="1:9" x14ac:dyDescent="0.2">
      <c r="A457" s="17" t="s">
        <v>143</v>
      </c>
      <c r="B457" s="17" t="s">
        <v>37</v>
      </c>
      <c r="C457" s="16">
        <v>42872.571157407408</v>
      </c>
      <c r="D457" s="17" t="s">
        <v>5</v>
      </c>
      <c r="E457" s="17" t="s">
        <v>41</v>
      </c>
      <c r="F457" s="16">
        <v>42880.476574074077</v>
      </c>
      <c r="G457" s="16">
        <v>42888.505289351851</v>
      </c>
      <c r="H457" s="16"/>
      <c r="I457" s="11">
        <v>457</v>
      </c>
    </row>
    <row r="458" spans="1:9" x14ac:dyDescent="0.2">
      <c r="A458" s="17" t="s">
        <v>143</v>
      </c>
      <c r="B458" s="17" t="s">
        <v>37</v>
      </c>
      <c r="C458" s="16">
        <v>42872.571157407408</v>
      </c>
      <c r="D458" s="17" t="s">
        <v>6</v>
      </c>
      <c r="E458" s="17" t="s">
        <v>61</v>
      </c>
      <c r="F458" s="16">
        <v>42880.503530092596</v>
      </c>
      <c r="G458" s="16">
        <v>42888.505289351851</v>
      </c>
      <c r="H458" s="16"/>
      <c r="I458" s="11">
        <v>458</v>
      </c>
    </row>
    <row r="459" spans="1:9" x14ac:dyDescent="0.2">
      <c r="A459" s="17" t="s">
        <v>142</v>
      </c>
      <c r="B459" s="17" t="s">
        <v>65</v>
      </c>
      <c r="C459" s="16">
        <v>42872.663229166668</v>
      </c>
      <c r="D459" s="17" t="s">
        <v>5</v>
      </c>
      <c r="E459" s="17" t="s">
        <v>40</v>
      </c>
      <c r="F459" s="16">
        <v>42872.663252314815</v>
      </c>
      <c r="G459" s="16"/>
      <c r="H459" s="16"/>
      <c r="I459" s="11">
        <v>459</v>
      </c>
    </row>
    <row r="460" spans="1:9" x14ac:dyDescent="0.2">
      <c r="A460" s="17" t="s">
        <v>142</v>
      </c>
      <c r="B460" s="17" t="s">
        <v>65</v>
      </c>
      <c r="C460" s="16">
        <v>42872.663229166668</v>
      </c>
      <c r="D460" s="17" t="s">
        <v>5</v>
      </c>
      <c r="E460" s="17" t="s">
        <v>36</v>
      </c>
      <c r="F460" s="16">
        <v>42872.664074074077</v>
      </c>
      <c r="G460" s="16"/>
      <c r="H460" s="16"/>
      <c r="I460" s="11">
        <v>460</v>
      </c>
    </row>
    <row r="461" spans="1:9" x14ac:dyDescent="0.2">
      <c r="A461" s="17" t="s">
        <v>142</v>
      </c>
      <c r="B461" s="17" t="s">
        <v>65</v>
      </c>
      <c r="C461" s="16">
        <v>42872.663229166668</v>
      </c>
      <c r="D461" s="17" t="s">
        <v>5</v>
      </c>
      <c r="E461" s="17" t="s">
        <v>41</v>
      </c>
      <c r="F461" s="16">
        <v>42872.765405092592</v>
      </c>
      <c r="G461" s="16"/>
      <c r="H461" s="16"/>
      <c r="I461" s="11">
        <v>461</v>
      </c>
    </row>
    <row r="462" spans="1:9" x14ac:dyDescent="0.2">
      <c r="A462" s="17" t="s">
        <v>142</v>
      </c>
      <c r="B462" s="17" t="s">
        <v>65</v>
      </c>
      <c r="C462" s="16">
        <v>42872.663229166668</v>
      </c>
      <c r="D462" s="17" t="s">
        <v>5</v>
      </c>
      <c r="E462" s="17" t="s">
        <v>46</v>
      </c>
      <c r="F462" s="16">
        <v>42873.613275462965</v>
      </c>
      <c r="G462" s="16"/>
      <c r="H462" s="16"/>
      <c r="I462" s="11">
        <v>462</v>
      </c>
    </row>
    <row r="463" spans="1:9" x14ac:dyDescent="0.2">
      <c r="A463" s="17" t="s">
        <v>142</v>
      </c>
      <c r="B463" s="17" t="s">
        <v>65</v>
      </c>
      <c r="C463" s="16">
        <v>42872.663229166668</v>
      </c>
      <c r="D463" s="17" t="s">
        <v>6</v>
      </c>
      <c r="E463" s="17" t="s">
        <v>49</v>
      </c>
      <c r="F463" s="16">
        <v>42873.662430555552</v>
      </c>
      <c r="G463" s="16"/>
      <c r="H463" s="16"/>
      <c r="I463" s="11">
        <v>463</v>
      </c>
    </row>
    <row r="464" spans="1:9" x14ac:dyDescent="0.2">
      <c r="A464" s="17" t="s">
        <v>142</v>
      </c>
      <c r="B464" s="17" t="s">
        <v>65</v>
      </c>
      <c r="C464" s="16">
        <v>42872.663229166668</v>
      </c>
      <c r="D464" s="17" t="s">
        <v>6</v>
      </c>
      <c r="E464" s="17" t="s">
        <v>107</v>
      </c>
      <c r="F464" s="16">
        <v>42881.76761574074</v>
      </c>
      <c r="G464" s="16"/>
      <c r="H464" s="16"/>
      <c r="I464" s="11">
        <v>464</v>
      </c>
    </row>
    <row r="465" spans="1:9" x14ac:dyDescent="0.2">
      <c r="A465" s="17" t="s">
        <v>142</v>
      </c>
      <c r="B465" s="17" t="s">
        <v>65</v>
      </c>
      <c r="C465" s="16">
        <v>42872.663229166668</v>
      </c>
      <c r="D465" s="17" t="s">
        <v>6</v>
      </c>
      <c r="E465" s="17" t="s">
        <v>82</v>
      </c>
      <c r="F465" s="16">
        <v>42886.63653935185</v>
      </c>
      <c r="G465" s="16"/>
      <c r="H465" s="16"/>
      <c r="I465" s="11">
        <v>465</v>
      </c>
    </row>
    <row r="466" spans="1:9" x14ac:dyDescent="0.2">
      <c r="A466" s="17" t="s">
        <v>141</v>
      </c>
      <c r="B466" s="17" t="s">
        <v>37</v>
      </c>
      <c r="C466" s="16">
        <v>42873.477858796294</v>
      </c>
      <c r="D466" s="17" t="s">
        <v>5</v>
      </c>
      <c r="E466" s="17" t="s">
        <v>40</v>
      </c>
      <c r="F466" s="16">
        <v>42873.477893518517</v>
      </c>
      <c r="G466" s="16"/>
      <c r="H466" s="16"/>
      <c r="I466" s="11">
        <v>466</v>
      </c>
    </row>
    <row r="467" spans="1:9" x14ac:dyDescent="0.2">
      <c r="A467" s="17" t="s">
        <v>141</v>
      </c>
      <c r="B467" s="17" t="s">
        <v>37</v>
      </c>
      <c r="C467" s="16">
        <v>42873.477858796294</v>
      </c>
      <c r="D467" s="17" t="s">
        <v>5</v>
      </c>
      <c r="E467" s="17" t="s">
        <v>46</v>
      </c>
      <c r="F467" s="16">
        <v>42873.48133101852</v>
      </c>
      <c r="G467" s="16"/>
      <c r="H467" s="16"/>
      <c r="I467" s="11">
        <v>467</v>
      </c>
    </row>
    <row r="468" spans="1:9" x14ac:dyDescent="0.2">
      <c r="A468" s="17" t="s">
        <v>141</v>
      </c>
      <c r="B468" s="17" t="s">
        <v>37</v>
      </c>
      <c r="C468" s="16">
        <v>42873.477858796294</v>
      </c>
      <c r="D468" s="17" t="s">
        <v>6</v>
      </c>
      <c r="E468" s="17" t="s">
        <v>44</v>
      </c>
      <c r="F468" s="16">
        <v>42873.66337962963</v>
      </c>
      <c r="G468" s="16"/>
      <c r="H468" s="16"/>
      <c r="I468" s="11">
        <v>468</v>
      </c>
    </row>
    <row r="469" spans="1:9" x14ac:dyDescent="0.2">
      <c r="A469" s="17" t="s">
        <v>140</v>
      </c>
      <c r="B469" s="17" t="s">
        <v>65</v>
      </c>
      <c r="C469" s="16">
        <v>42874.419074074074</v>
      </c>
      <c r="D469" s="17" t="s">
        <v>5</v>
      </c>
      <c r="E469" s="17" t="s">
        <v>40</v>
      </c>
      <c r="F469" s="16">
        <v>42874.419108796297</v>
      </c>
      <c r="G469" s="16"/>
      <c r="H469" s="16"/>
      <c r="I469" s="11">
        <v>469</v>
      </c>
    </row>
    <row r="470" spans="1:9" x14ac:dyDescent="0.2">
      <c r="A470" s="17" t="s">
        <v>140</v>
      </c>
      <c r="B470" s="17" t="s">
        <v>65</v>
      </c>
      <c r="C470" s="16">
        <v>42874.419074074074</v>
      </c>
      <c r="D470" s="17" t="s">
        <v>5</v>
      </c>
      <c r="E470" s="17" t="s">
        <v>36</v>
      </c>
      <c r="F470" s="16">
        <v>42874.420925925922</v>
      </c>
      <c r="G470" s="16"/>
      <c r="H470" s="16"/>
      <c r="I470" s="11">
        <v>470</v>
      </c>
    </row>
    <row r="471" spans="1:9" x14ac:dyDescent="0.2">
      <c r="A471" s="17" t="s">
        <v>140</v>
      </c>
      <c r="B471" s="17" t="s">
        <v>65</v>
      </c>
      <c r="C471" s="16">
        <v>42874.419074074074</v>
      </c>
      <c r="D471" s="17" t="s">
        <v>5</v>
      </c>
      <c r="E471" s="17" t="s">
        <v>46</v>
      </c>
      <c r="F471" s="16">
        <v>42874.43240740741</v>
      </c>
      <c r="G471" s="16"/>
      <c r="H471" s="16"/>
      <c r="I471" s="11">
        <v>471</v>
      </c>
    </row>
    <row r="472" spans="1:9" x14ac:dyDescent="0.2">
      <c r="A472" s="17" t="s">
        <v>140</v>
      </c>
      <c r="B472" s="17" t="s">
        <v>65</v>
      </c>
      <c r="C472" s="16">
        <v>42874.419074074074</v>
      </c>
      <c r="D472" s="17" t="s">
        <v>6</v>
      </c>
      <c r="E472" s="17" t="s">
        <v>44</v>
      </c>
      <c r="F472" s="16">
        <v>42877.396284722221</v>
      </c>
      <c r="G472" s="16"/>
      <c r="H472" s="16"/>
      <c r="I472" s="11">
        <v>472</v>
      </c>
    </row>
    <row r="473" spans="1:9" x14ac:dyDescent="0.2">
      <c r="A473" s="17" t="s">
        <v>140</v>
      </c>
      <c r="B473" s="17" t="s">
        <v>65</v>
      </c>
      <c r="C473" s="16">
        <v>42874.419074074074</v>
      </c>
      <c r="D473" s="17" t="s">
        <v>5</v>
      </c>
      <c r="E473" s="17" t="s">
        <v>41</v>
      </c>
      <c r="F473" s="16">
        <v>42887.692118055558</v>
      </c>
      <c r="G473" s="16"/>
      <c r="H473" s="16"/>
      <c r="I473" s="11">
        <v>473</v>
      </c>
    </row>
    <row r="474" spans="1:9" x14ac:dyDescent="0.2">
      <c r="A474" s="17" t="s">
        <v>140</v>
      </c>
      <c r="B474" s="17" t="s">
        <v>65</v>
      </c>
      <c r="C474" s="16">
        <v>42874.419074074074</v>
      </c>
      <c r="D474" s="17" t="s">
        <v>6</v>
      </c>
      <c r="E474" s="17" t="s">
        <v>61</v>
      </c>
      <c r="F474" s="16">
        <v>42892.669212962966</v>
      </c>
      <c r="G474" s="16"/>
      <c r="H474" s="16"/>
      <c r="I474" s="11">
        <v>474</v>
      </c>
    </row>
    <row r="475" spans="1:9" x14ac:dyDescent="0.2">
      <c r="A475" s="17" t="s">
        <v>139</v>
      </c>
      <c r="B475" s="17" t="s">
        <v>37</v>
      </c>
      <c r="C475" s="16">
        <v>42877.627627314818</v>
      </c>
      <c r="D475" s="17" t="s">
        <v>5</v>
      </c>
      <c r="E475" s="17" t="s">
        <v>40</v>
      </c>
      <c r="F475" s="16">
        <v>42877.627754629626</v>
      </c>
      <c r="G475" s="16"/>
      <c r="H475" s="16"/>
      <c r="I475" s="11">
        <v>475</v>
      </c>
    </row>
    <row r="476" spans="1:9" x14ac:dyDescent="0.2">
      <c r="A476" s="17" t="s">
        <v>139</v>
      </c>
      <c r="B476" s="17" t="s">
        <v>37</v>
      </c>
      <c r="C476" s="16">
        <v>42877.627627314818</v>
      </c>
      <c r="D476" s="17" t="s">
        <v>5</v>
      </c>
      <c r="E476" s="17" t="s">
        <v>46</v>
      </c>
      <c r="F476" s="16">
        <v>42877.628923611112</v>
      </c>
      <c r="G476" s="16"/>
      <c r="H476" s="16"/>
      <c r="I476" s="11">
        <v>476</v>
      </c>
    </row>
    <row r="477" spans="1:9" x14ac:dyDescent="0.2">
      <c r="A477" s="17" t="s">
        <v>139</v>
      </c>
      <c r="B477" s="17" t="s">
        <v>37</v>
      </c>
      <c r="C477" s="16">
        <v>42877.627627314818</v>
      </c>
      <c r="D477" s="17" t="s">
        <v>6</v>
      </c>
      <c r="E477" s="17" t="s">
        <v>107</v>
      </c>
      <c r="F477" s="16">
        <v>42877.690104166664</v>
      </c>
      <c r="G477" s="16"/>
      <c r="H477" s="16"/>
      <c r="I477" s="11">
        <v>477</v>
      </c>
    </row>
    <row r="478" spans="1:9" x14ac:dyDescent="0.2">
      <c r="A478" s="17" t="s">
        <v>139</v>
      </c>
      <c r="B478" s="17" t="s">
        <v>37</v>
      </c>
      <c r="C478" s="16">
        <v>42877.627627314818</v>
      </c>
      <c r="D478" s="17" t="s">
        <v>6</v>
      </c>
      <c r="E478" s="17" t="s">
        <v>49</v>
      </c>
      <c r="F478" s="16">
        <v>42878.465844907405</v>
      </c>
      <c r="G478" s="16"/>
      <c r="H478" s="16"/>
      <c r="I478" s="11">
        <v>478</v>
      </c>
    </row>
    <row r="479" spans="1:9" x14ac:dyDescent="0.2">
      <c r="A479" s="17" t="s">
        <v>139</v>
      </c>
      <c r="B479" s="17" t="s">
        <v>37</v>
      </c>
      <c r="C479" s="16">
        <v>42877.627627314818</v>
      </c>
      <c r="D479" s="17" t="s">
        <v>6</v>
      </c>
      <c r="E479" s="17" t="s">
        <v>107</v>
      </c>
      <c r="F479" s="16">
        <v>42881.741331018522</v>
      </c>
      <c r="G479" s="16"/>
      <c r="H479" s="16"/>
      <c r="I479" s="11">
        <v>479</v>
      </c>
    </row>
    <row r="480" spans="1:9" x14ac:dyDescent="0.2">
      <c r="A480" s="17" t="s">
        <v>138</v>
      </c>
      <c r="B480" s="17" t="s">
        <v>37</v>
      </c>
      <c r="C480" s="16">
        <v>42878.372916666667</v>
      </c>
      <c r="D480" s="17" t="s">
        <v>5</v>
      </c>
      <c r="E480" s="17" t="s">
        <v>40</v>
      </c>
      <c r="F480" s="16">
        <v>42878.372997685183</v>
      </c>
      <c r="G480" s="16"/>
      <c r="H480" s="16"/>
      <c r="I480" s="11">
        <v>480</v>
      </c>
    </row>
    <row r="481" spans="1:9" x14ac:dyDescent="0.2">
      <c r="A481" s="17" t="s">
        <v>138</v>
      </c>
      <c r="B481" s="17" t="s">
        <v>37</v>
      </c>
      <c r="C481" s="16">
        <v>42878.372916666667</v>
      </c>
      <c r="D481" s="17" t="s">
        <v>5</v>
      </c>
      <c r="E481" s="17" t="s">
        <v>41</v>
      </c>
      <c r="F481" s="16">
        <v>42878.373819444445</v>
      </c>
      <c r="G481" s="16"/>
      <c r="H481" s="16"/>
      <c r="I481" s="11">
        <v>481</v>
      </c>
    </row>
    <row r="482" spans="1:9" x14ac:dyDescent="0.2">
      <c r="A482" s="17" t="s">
        <v>138</v>
      </c>
      <c r="B482" s="17" t="s">
        <v>37</v>
      </c>
      <c r="C482" s="16">
        <v>42878.372916666667</v>
      </c>
      <c r="D482" s="17" t="s">
        <v>6</v>
      </c>
      <c r="E482" s="17" t="s">
        <v>61</v>
      </c>
      <c r="F482" s="16">
        <v>42878.666921296295</v>
      </c>
      <c r="G482" s="16"/>
      <c r="H482" s="16"/>
      <c r="I482" s="11">
        <v>482</v>
      </c>
    </row>
    <row r="483" spans="1:9" x14ac:dyDescent="0.2">
      <c r="A483" s="17" t="s">
        <v>137</v>
      </c>
      <c r="B483" s="17" t="s">
        <v>37</v>
      </c>
      <c r="C483" s="16">
        <v>42878.412465277775</v>
      </c>
      <c r="D483" s="17" t="s">
        <v>5</v>
      </c>
      <c r="E483" s="17" t="s">
        <v>40</v>
      </c>
      <c r="F483" s="16">
        <v>42878.412546296298</v>
      </c>
      <c r="G483" s="16"/>
      <c r="H483" s="16"/>
      <c r="I483" s="11">
        <v>483</v>
      </c>
    </row>
    <row r="484" spans="1:9" x14ac:dyDescent="0.2">
      <c r="A484" s="17" t="s">
        <v>137</v>
      </c>
      <c r="B484" s="17" t="s">
        <v>37</v>
      </c>
      <c r="C484" s="16">
        <v>42878.412465277775</v>
      </c>
      <c r="D484" s="17" t="s">
        <v>5</v>
      </c>
      <c r="E484" s="17" t="s">
        <v>41</v>
      </c>
      <c r="F484" s="16">
        <v>42878.420474537037</v>
      </c>
      <c r="G484" s="16"/>
      <c r="H484" s="16"/>
      <c r="I484" s="11">
        <v>484</v>
      </c>
    </row>
    <row r="485" spans="1:9" x14ac:dyDescent="0.2">
      <c r="A485" s="17" t="s">
        <v>137</v>
      </c>
      <c r="B485" s="17" t="s">
        <v>37</v>
      </c>
      <c r="C485" s="16">
        <v>42878.412465277775</v>
      </c>
      <c r="D485" s="17" t="s">
        <v>6</v>
      </c>
      <c r="E485" s="17" t="s">
        <v>61</v>
      </c>
      <c r="F485" s="16">
        <v>42879.649085648147</v>
      </c>
      <c r="G485" s="16"/>
      <c r="H485" s="16"/>
      <c r="I485" s="11">
        <v>485</v>
      </c>
    </row>
    <row r="486" spans="1:9" x14ac:dyDescent="0.2">
      <c r="A486" s="17" t="s">
        <v>136</v>
      </c>
      <c r="B486" s="17" t="s">
        <v>65</v>
      </c>
      <c r="C486" s="16">
        <v>42878.60125</v>
      </c>
      <c r="D486" s="17" t="s">
        <v>5</v>
      </c>
      <c r="E486" s="17" t="s">
        <v>40</v>
      </c>
      <c r="F486" s="16">
        <v>42878.601307870369</v>
      </c>
      <c r="G486" s="16"/>
      <c r="H486" s="16"/>
      <c r="I486" s="11">
        <v>486</v>
      </c>
    </row>
    <row r="487" spans="1:9" x14ac:dyDescent="0.2">
      <c r="A487" s="17" t="s">
        <v>136</v>
      </c>
      <c r="B487" s="17" t="s">
        <v>65</v>
      </c>
      <c r="C487" s="16">
        <v>42878.60125</v>
      </c>
      <c r="D487" s="17" t="s">
        <v>5</v>
      </c>
      <c r="E487" s="17" t="s">
        <v>46</v>
      </c>
      <c r="F487" s="16">
        <v>42878.61136574074</v>
      </c>
      <c r="G487" s="16"/>
      <c r="H487" s="16"/>
      <c r="I487" s="11">
        <v>487</v>
      </c>
    </row>
    <row r="488" spans="1:9" x14ac:dyDescent="0.2">
      <c r="A488" s="17" t="s">
        <v>136</v>
      </c>
      <c r="B488" s="17" t="s">
        <v>65</v>
      </c>
      <c r="C488" s="16">
        <v>42878.60125</v>
      </c>
      <c r="D488" s="17" t="s">
        <v>6</v>
      </c>
      <c r="E488" s="17" t="s">
        <v>44</v>
      </c>
      <c r="F488" s="16">
        <v>42878.627951388888</v>
      </c>
      <c r="G488" s="16"/>
      <c r="H488" s="16"/>
      <c r="I488" s="11">
        <v>488</v>
      </c>
    </row>
    <row r="489" spans="1:9" x14ac:dyDescent="0.2">
      <c r="A489" s="17" t="s">
        <v>136</v>
      </c>
      <c r="B489" s="17" t="s">
        <v>65</v>
      </c>
      <c r="C489" s="16">
        <v>42878.60125</v>
      </c>
      <c r="D489" s="17" t="s">
        <v>5</v>
      </c>
      <c r="E489" s="17" t="s">
        <v>36</v>
      </c>
      <c r="F489" s="16">
        <v>42887.554571759261</v>
      </c>
      <c r="G489" s="16"/>
      <c r="H489" s="16"/>
      <c r="I489" s="11">
        <v>489</v>
      </c>
    </row>
    <row r="490" spans="1:9" x14ac:dyDescent="0.2">
      <c r="A490" s="17" t="s">
        <v>136</v>
      </c>
      <c r="B490" s="17" t="s">
        <v>65</v>
      </c>
      <c r="C490" s="16">
        <v>42878.60125</v>
      </c>
      <c r="D490" s="17" t="s">
        <v>5</v>
      </c>
      <c r="E490" s="17" t="s">
        <v>46</v>
      </c>
      <c r="F490" s="16">
        <v>42887.554907407408</v>
      </c>
      <c r="G490" s="16"/>
      <c r="H490" s="16"/>
      <c r="I490" s="11">
        <v>490</v>
      </c>
    </row>
    <row r="491" spans="1:9" x14ac:dyDescent="0.2">
      <c r="A491" s="17" t="s">
        <v>136</v>
      </c>
      <c r="B491" s="17" t="s">
        <v>65</v>
      </c>
      <c r="C491" s="16">
        <v>42878.60125</v>
      </c>
      <c r="D491" s="17" t="s">
        <v>6</v>
      </c>
      <c r="E491" s="17" t="s">
        <v>82</v>
      </c>
      <c r="F491" s="16">
        <v>42887.554907407408</v>
      </c>
      <c r="G491" s="16"/>
      <c r="H491" s="16"/>
      <c r="I491" s="11">
        <v>491</v>
      </c>
    </row>
    <row r="492" spans="1:9" x14ac:dyDescent="0.2">
      <c r="A492" s="17" t="s">
        <v>135</v>
      </c>
      <c r="B492" s="17" t="s">
        <v>37</v>
      </c>
      <c r="C492" s="16">
        <v>42880.420358796298</v>
      </c>
      <c r="D492" s="17" t="s">
        <v>5</v>
      </c>
      <c r="E492" s="17" t="s">
        <v>40</v>
      </c>
      <c r="F492" s="16">
        <v>42880.420393518521</v>
      </c>
      <c r="G492" s="16"/>
      <c r="H492" s="16"/>
      <c r="I492" s="11">
        <v>492</v>
      </c>
    </row>
    <row r="493" spans="1:9" x14ac:dyDescent="0.2">
      <c r="A493" s="17" t="s">
        <v>135</v>
      </c>
      <c r="B493" s="17" t="s">
        <v>37</v>
      </c>
      <c r="C493" s="16">
        <v>42880.420358796298</v>
      </c>
      <c r="D493" s="17" t="s">
        <v>5</v>
      </c>
      <c r="E493" s="17" t="s">
        <v>36</v>
      </c>
      <c r="F493" s="16">
        <v>42880.42769675926</v>
      </c>
      <c r="G493" s="16"/>
      <c r="H493" s="16"/>
      <c r="I493" s="11">
        <v>493</v>
      </c>
    </row>
    <row r="494" spans="1:9" x14ac:dyDescent="0.2">
      <c r="A494" s="17" t="s">
        <v>135</v>
      </c>
      <c r="B494" s="17" t="s">
        <v>37</v>
      </c>
      <c r="C494" s="16">
        <v>42880.420358796298</v>
      </c>
      <c r="D494" s="17" t="s">
        <v>6</v>
      </c>
      <c r="E494" s="17" t="s">
        <v>92</v>
      </c>
      <c r="F494" s="16">
        <v>42880.42769675926</v>
      </c>
      <c r="G494" s="16"/>
      <c r="H494" s="16"/>
      <c r="I494" s="11">
        <v>494</v>
      </c>
    </row>
    <row r="495" spans="1:9" x14ac:dyDescent="0.2">
      <c r="A495" s="17" t="s">
        <v>135</v>
      </c>
      <c r="B495" s="17" t="s">
        <v>37</v>
      </c>
      <c r="C495" s="16">
        <v>42880.420358796298</v>
      </c>
      <c r="D495" s="17" t="s">
        <v>5</v>
      </c>
      <c r="E495" s="17" t="s">
        <v>46</v>
      </c>
      <c r="F495" s="16">
        <v>42892.393275462964</v>
      </c>
      <c r="G495" s="16"/>
      <c r="H495" s="16"/>
      <c r="I495" s="11">
        <v>495</v>
      </c>
    </row>
    <row r="496" spans="1:9" x14ac:dyDescent="0.2">
      <c r="A496" s="17" t="s">
        <v>135</v>
      </c>
      <c r="B496" s="17" t="s">
        <v>37</v>
      </c>
      <c r="C496" s="16">
        <v>42880.420358796298</v>
      </c>
      <c r="D496" s="17" t="s">
        <v>6</v>
      </c>
      <c r="E496" s="17" t="s">
        <v>44</v>
      </c>
      <c r="F496" s="16">
        <v>42893.438738425924</v>
      </c>
      <c r="G496" s="16"/>
      <c r="H496" s="16"/>
      <c r="I496" s="11">
        <v>496</v>
      </c>
    </row>
    <row r="497" spans="1:9" x14ac:dyDescent="0.2">
      <c r="A497" s="17" t="s">
        <v>134</v>
      </c>
      <c r="B497" s="17" t="s">
        <v>37</v>
      </c>
      <c r="C497" s="16">
        <v>42881.333564814813</v>
      </c>
      <c r="D497" s="17" t="s">
        <v>5</v>
      </c>
      <c r="E497" s="17" t="s">
        <v>40</v>
      </c>
      <c r="F497" s="16">
        <v>42881.333599537036</v>
      </c>
      <c r="G497" s="16"/>
      <c r="H497" s="16"/>
      <c r="I497" s="11">
        <v>497</v>
      </c>
    </row>
    <row r="498" spans="1:9" x14ac:dyDescent="0.2">
      <c r="A498" s="17" t="s">
        <v>134</v>
      </c>
      <c r="B498" s="17" t="s">
        <v>37</v>
      </c>
      <c r="C498" s="16">
        <v>42881.333564814813</v>
      </c>
      <c r="D498" s="17" t="s">
        <v>5</v>
      </c>
      <c r="E498" s="17" t="s">
        <v>36</v>
      </c>
      <c r="F498" s="16">
        <v>42881.333831018521</v>
      </c>
      <c r="G498" s="16"/>
      <c r="H498" s="16"/>
      <c r="I498" s="11">
        <v>498</v>
      </c>
    </row>
    <row r="499" spans="1:9" x14ac:dyDescent="0.2">
      <c r="A499" s="17" t="s">
        <v>134</v>
      </c>
      <c r="B499" s="17" t="s">
        <v>37</v>
      </c>
      <c r="C499" s="16">
        <v>42881.333564814813</v>
      </c>
      <c r="D499" s="17" t="s">
        <v>6</v>
      </c>
      <c r="E499" s="17" t="s">
        <v>64</v>
      </c>
      <c r="F499" s="16">
        <v>42881.445347222223</v>
      </c>
      <c r="G499" s="16"/>
      <c r="H499" s="16"/>
      <c r="I499" s="11">
        <v>499</v>
      </c>
    </row>
    <row r="500" spans="1:9" x14ac:dyDescent="0.2">
      <c r="A500" s="17" t="s">
        <v>134</v>
      </c>
      <c r="B500" s="17" t="s">
        <v>37</v>
      </c>
      <c r="C500" s="16">
        <v>42881.333564814813</v>
      </c>
      <c r="D500" s="17" t="s">
        <v>5</v>
      </c>
      <c r="E500" s="17" t="s">
        <v>46</v>
      </c>
      <c r="F500" s="16">
        <v>42881.638425925928</v>
      </c>
      <c r="G500" s="16"/>
      <c r="H500" s="16"/>
      <c r="I500" s="11">
        <v>500</v>
      </c>
    </row>
    <row r="501" spans="1:9" x14ac:dyDescent="0.2">
      <c r="A501" s="17" t="s">
        <v>134</v>
      </c>
      <c r="B501" s="17" t="s">
        <v>37</v>
      </c>
      <c r="C501" s="16">
        <v>42881.333564814813</v>
      </c>
      <c r="D501" s="17" t="s">
        <v>5</v>
      </c>
      <c r="E501" s="17" t="s">
        <v>41</v>
      </c>
      <c r="F501" s="16">
        <v>42881.664884259262</v>
      </c>
      <c r="G501" s="16"/>
      <c r="H501" s="16"/>
      <c r="I501" s="11">
        <v>501</v>
      </c>
    </row>
    <row r="502" spans="1:9" x14ac:dyDescent="0.2">
      <c r="A502" s="17" t="s">
        <v>134</v>
      </c>
      <c r="B502" s="17" t="s">
        <v>37</v>
      </c>
      <c r="C502" s="16">
        <v>42881.333564814813</v>
      </c>
      <c r="D502" s="17" t="s">
        <v>6</v>
      </c>
      <c r="E502" s="17" t="s">
        <v>61</v>
      </c>
      <c r="F502" s="16">
        <v>42887.601261574076</v>
      </c>
      <c r="G502" s="16"/>
      <c r="H502" s="16"/>
      <c r="I502" s="11">
        <v>502</v>
      </c>
    </row>
    <row r="503" spans="1:9" x14ac:dyDescent="0.2">
      <c r="A503" s="17" t="s">
        <v>134</v>
      </c>
      <c r="B503" s="17" t="s">
        <v>37</v>
      </c>
      <c r="C503" s="16">
        <v>42881.333564814813</v>
      </c>
      <c r="D503" s="17" t="s">
        <v>5</v>
      </c>
      <c r="E503" s="17" t="s">
        <v>99</v>
      </c>
      <c r="F503" s="16">
        <v>42892.639224537037</v>
      </c>
      <c r="G503" s="16"/>
      <c r="H503" s="16"/>
      <c r="I503" s="11">
        <v>503</v>
      </c>
    </row>
    <row r="504" spans="1:9" x14ac:dyDescent="0.2">
      <c r="A504" s="17" t="s">
        <v>134</v>
      </c>
      <c r="B504" s="17" t="s">
        <v>37</v>
      </c>
      <c r="C504" s="16">
        <v>42881.333564814813</v>
      </c>
      <c r="D504" s="17" t="s">
        <v>5</v>
      </c>
      <c r="E504" s="17" t="s">
        <v>57</v>
      </c>
      <c r="F504" s="16">
        <v>42892.674942129626</v>
      </c>
      <c r="G504" s="16"/>
      <c r="H504" s="16"/>
      <c r="I504" s="11">
        <v>504</v>
      </c>
    </row>
    <row r="505" spans="1:9" x14ac:dyDescent="0.2">
      <c r="A505" s="17" t="s">
        <v>134</v>
      </c>
      <c r="B505" s="17" t="s">
        <v>37</v>
      </c>
      <c r="C505" s="16">
        <v>42881.333564814813</v>
      </c>
      <c r="D505" s="17" t="s">
        <v>6</v>
      </c>
      <c r="E505" s="17" t="s">
        <v>111</v>
      </c>
      <c r="F505" s="16">
        <v>42892.674942129626</v>
      </c>
      <c r="G505" s="16"/>
      <c r="H505" s="16"/>
      <c r="I505" s="11">
        <v>505</v>
      </c>
    </row>
    <row r="506" spans="1:9" x14ac:dyDescent="0.2">
      <c r="A506" s="17" t="s">
        <v>134</v>
      </c>
      <c r="B506" s="17" t="s">
        <v>37</v>
      </c>
      <c r="C506" s="16">
        <v>42881.333564814813</v>
      </c>
      <c r="D506" s="17" t="s">
        <v>5</v>
      </c>
      <c r="E506" s="17" t="s">
        <v>41</v>
      </c>
      <c r="F506" s="16">
        <v>42893.425925925927</v>
      </c>
      <c r="G506" s="16"/>
      <c r="H506" s="16"/>
      <c r="I506" s="11">
        <v>506</v>
      </c>
    </row>
    <row r="507" spans="1:9" x14ac:dyDescent="0.2">
      <c r="A507" s="17" t="s">
        <v>134</v>
      </c>
      <c r="B507" s="17" t="s">
        <v>37</v>
      </c>
      <c r="C507" s="16">
        <v>42881.333564814813</v>
      </c>
      <c r="D507" s="17" t="s">
        <v>6</v>
      </c>
      <c r="E507" s="17" t="s">
        <v>61</v>
      </c>
      <c r="F507" s="16">
        <v>42893.425925925927</v>
      </c>
      <c r="G507" s="16"/>
      <c r="H507" s="16"/>
      <c r="I507" s="11">
        <v>507</v>
      </c>
    </row>
    <row r="508" spans="1:9" x14ac:dyDescent="0.2">
      <c r="A508" s="17" t="s">
        <v>133</v>
      </c>
      <c r="B508" s="17" t="s">
        <v>37</v>
      </c>
      <c r="C508" s="16">
        <v>42881.608275462961</v>
      </c>
      <c r="D508" s="17" t="s">
        <v>5</v>
      </c>
      <c r="E508" s="17" t="s">
        <v>40</v>
      </c>
      <c r="F508" s="16">
        <v>42881.608298611114</v>
      </c>
      <c r="G508" s="16"/>
      <c r="H508" s="16"/>
      <c r="I508" s="11">
        <v>508</v>
      </c>
    </row>
    <row r="509" spans="1:9" x14ac:dyDescent="0.2">
      <c r="A509" s="17" t="s">
        <v>133</v>
      </c>
      <c r="B509" s="17" t="s">
        <v>37</v>
      </c>
      <c r="C509" s="16">
        <v>42881.608275462961</v>
      </c>
      <c r="D509" s="17" t="s">
        <v>5</v>
      </c>
      <c r="E509" s="17" t="s">
        <v>36</v>
      </c>
      <c r="F509" s="16">
        <v>42881.60864583333</v>
      </c>
      <c r="G509" s="16"/>
      <c r="H509" s="16"/>
      <c r="I509" s="11">
        <v>509</v>
      </c>
    </row>
    <row r="510" spans="1:9" x14ac:dyDescent="0.2">
      <c r="A510" s="17" t="s">
        <v>133</v>
      </c>
      <c r="B510" s="17" t="s">
        <v>37</v>
      </c>
      <c r="C510" s="16">
        <v>42881.608275462961</v>
      </c>
      <c r="D510" s="17" t="s">
        <v>6</v>
      </c>
      <c r="E510" s="17" t="s">
        <v>39</v>
      </c>
      <c r="F510" s="16">
        <v>42881.736111111109</v>
      </c>
      <c r="G510" s="16"/>
      <c r="H510" s="16"/>
      <c r="I510" s="11">
        <v>510</v>
      </c>
    </row>
    <row r="511" spans="1:9" x14ac:dyDescent="0.2">
      <c r="A511" s="17" t="s">
        <v>133</v>
      </c>
      <c r="B511" s="17" t="s">
        <v>37</v>
      </c>
      <c r="C511" s="16">
        <v>42881.608275462961</v>
      </c>
      <c r="D511" s="17" t="s">
        <v>5</v>
      </c>
      <c r="E511" s="17" t="s">
        <v>41</v>
      </c>
      <c r="F511" s="16">
        <v>42881.762800925928</v>
      </c>
      <c r="G511" s="16"/>
      <c r="H511" s="16"/>
      <c r="I511" s="11">
        <v>511</v>
      </c>
    </row>
    <row r="512" spans="1:9" x14ac:dyDescent="0.2">
      <c r="A512" s="17" t="s">
        <v>133</v>
      </c>
      <c r="B512" s="17" t="s">
        <v>37</v>
      </c>
      <c r="C512" s="16">
        <v>42881.608275462961</v>
      </c>
      <c r="D512" s="17" t="s">
        <v>6</v>
      </c>
      <c r="E512" s="17" t="s">
        <v>61</v>
      </c>
      <c r="F512" s="16">
        <v>42887.619675925926</v>
      </c>
      <c r="G512" s="16"/>
      <c r="H512" s="16"/>
      <c r="I512" s="11">
        <v>512</v>
      </c>
    </row>
    <row r="513" spans="1:9" x14ac:dyDescent="0.2">
      <c r="A513" s="17" t="s">
        <v>132</v>
      </c>
      <c r="B513" s="17" t="s">
        <v>65</v>
      </c>
      <c r="C513" s="16">
        <v>42881.637048611112</v>
      </c>
      <c r="D513" s="17" t="s">
        <v>5</v>
      </c>
      <c r="E513" s="17" t="s">
        <v>40</v>
      </c>
      <c r="F513" s="16">
        <v>42881.637060185189</v>
      </c>
      <c r="G513" s="16"/>
      <c r="H513" s="16"/>
      <c r="I513" s="11">
        <v>513</v>
      </c>
    </row>
    <row r="514" spans="1:9" x14ac:dyDescent="0.2">
      <c r="A514" s="17" t="s">
        <v>132</v>
      </c>
      <c r="B514" s="17" t="s">
        <v>65</v>
      </c>
      <c r="C514" s="16">
        <v>42881.637048611112</v>
      </c>
      <c r="D514" s="17" t="s">
        <v>5</v>
      </c>
      <c r="E514" s="17" t="s">
        <v>36</v>
      </c>
      <c r="F514" s="16">
        <v>42881.63925925926</v>
      </c>
      <c r="G514" s="16"/>
      <c r="H514" s="16"/>
      <c r="I514" s="11">
        <v>514</v>
      </c>
    </row>
    <row r="515" spans="1:9" x14ac:dyDescent="0.2">
      <c r="A515" s="17" t="s">
        <v>132</v>
      </c>
      <c r="B515" s="17" t="s">
        <v>65</v>
      </c>
      <c r="C515" s="16">
        <v>42881.637048611112</v>
      </c>
      <c r="D515" s="17" t="s">
        <v>6</v>
      </c>
      <c r="E515" s="17" t="s">
        <v>39</v>
      </c>
      <c r="F515" s="16">
        <v>42881.63925925926</v>
      </c>
      <c r="G515" s="16"/>
      <c r="H515" s="16"/>
      <c r="I515" s="11">
        <v>515</v>
      </c>
    </row>
    <row r="516" spans="1:9" x14ac:dyDescent="0.2">
      <c r="A516" s="17" t="s">
        <v>132</v>
      </c>
      <c r="B516" s="17" t="s">
        <v>65</v>
      </c>
      <c r="C516" s="16">
        <v>42881.637048611112</v>
      </c>
      <c r="D516" s="17" t="s">
        <v>5</v>
      </c>
      <c r="E516" s="17" t="s">
        <v>46</v>
      </c>
      <c r="F516" s="16">
        <v>42881.643414351849</v>
      </c>
      <c r="G516" s="16"/>
      <c r="H516" s="16"/>
      <c r="I516" s="11">
        <v>516</v>
      </c>
    </row>
    <row r="517" spans="1:9" x14ac:dyDescent="0.2">
      <c r="A517" s="17" t="s">
        <v>132</v>
      </c>
      <c r="B517" s="17" t="s">
        <v>65</v>
      </c>
      <c r="C517" s="16">
        <v>42881.637048611112</v>
      </c>
      <c r="D517" s="17" t="s">
        <v>6</v>
      </c>
      <c r="E517" s="17" t="s">
        <v>67</v>
      </c>
      <c r="F517" s="16">
        <v>42881.773275462961</v>
      </c>
      <c r="G517" s="16"/>
      <c r="H517" s="16"/>
      <c r="I517" s="11">
        <v>517</v>
      </c>
    </row>
    <row r="518" spans="1:9" x14ac:dyDescent="0.2">
      <c r="A518" s="17" t="s">
        <v>131</v>
      </c>
      <c r="B518" s="17" t="s">
        <v>37</v>
      </c>
      <c r="C518" s="16">
        <v>42881.648298611108</v>
      </c>
      <c r="D518" s="17" t="s">
        <v>5</v>
      </c>
      <c r="E518" s="17" t="s">
        <v>40</v>
      </c>
      <c r="F518" s="16">
        <v>42881.648333333331</v>
      </c>
      <c r="G518" s="16"/>
      <c r="H518" s="16"/>
      <c r="I518" s="11">
        <v>518</v>
      </c>
    </row>
    <row r="519" spans="1:9" x14ac:dyDescent="0.2">
      <c r="A519" s="17" t="s">
        <v>131</v>
      </c>
      <c r="B519" s="17" t="s">
        <v>37</v>
      </c>
      <c r="C519" s="16">
        <v>42881.648298611108</v>
      </c>
      <c r="D519" s="17" t="s">
        <v>5</v>
      </c>
      <c r="E519" s="17" t="s">
        <v>41</v>
      </c>
      <c r="F519" s="16">
        <v>42881.657488425924</v>
      </c>
      <c r="G519" s="16"/>
      <c r="H519" s="16"/>
      <c r="I519" s="11">
        <v>519</v>
      </c>
    </row>
    <row r="520" spans="1:9" x14ac:dyDescent="0.2">
      <c r="A520" s="17" t="s">
        <v>131</v>
      </c>
      <c r="B520" s="17" t="s">
        <v>37</v>
      </c>
      <c r="C520" s="16">
        <v>42881.648298611108</v>
      </c>
      <c r="D520" s="17" t="s">
        <v>6</v>
      </c>
      <c r="E520" s="17" t="s">
        <v>61</v>
      </c>
      <c r="F520" s="16">
        <v>42887.622511574074</v>
      </c>
      <c r="G520" s="16"/>
      <c r="H520" s="16"/>
      <c r="I520" s="11">
        <v>520</v>
      </c>
    </row>
    <row r="521" spans="1:9" x14ac:dyDescent="0.2">
      <c r="A521" s="17" t="s">
        <v>130</v>
      </c>
      <c r="B521" s="17" t="s">
        <v>37</v>
      </c>
      <c r="C521" s="16">
        <v>42885.342314814814</v>
      </c>
      <c r="D521" s="17" t="s">
        <v>5</v>
      </c>
      <c r="E521" s="17" t="s">
        <v>40</v>
      </c>
      <c r="F521" s="16">
        <v>42885.342326388891</v>
      </c>
      <c r="G521" s="16">
        <v>42892.654421296298</v>
      </c>
      <c r="H521" s="16"/>
      <c r="I521" s="11">
        <v>521</v>
      </c>
    </row>
    <row r="522" spans="1:9" x14ac:dyDescent="0.2">
      <c r="A522" s="17" t="s">
        <v>130</v>
      </c>
      <c r="B522" s="17" t="s">
        <v>37</v>
      </c>
      <c r="C522" s="16">
        <v>42885.342314814814</v>
      </c>
      <c r="D522" s="17" t="s">
        <v>5</v>
      </c>
      <c r="E522" s="17" t="s">
        <v>36</v>
      </c>
      <c r="F522" s="16">
        <v>42885.346574074072</v>
      </c>
      <c r="G522" s="16">
        <v>42892.654421296298</v>
      </c>
      <c r="H522" s="16"/>
      <c r="I522" s="11">
        <v>522</v>
      </c>
    </row>
    <row r="523" spans="1:9" x14ac:dyDescent="0.2">
      <c r="A523" s="17" t="s">
        <v>130</v>
      </c>
      <c r="B523" s="17" t="s">
        <v>37</v>
      </c>
      <c r="C523" s="16">
        <v>42885.342314814814</v>
      </c>
      <c r="D523" s="17" t="s">
        <v>6</v>
      </c>
      <c r="E523" s="17" t="s">
        <v>71</v>
      </c>
      <c r="F523" s="16">
        <v>42885.346574074072</v>
      </c>
      <c r="G523" s="16">
        <v>42892.654421296298</v>
      </c>
      <c r="H523" s="16"/>
      <c r="I523" s="11">
        <v>523</v>
      </c>
    </row>
    <row r="524" spans="1:9" x14ac:dyDescent="0.2">
      <c r="A524" s="17" t="s">
        <v>130</v>
      </c>
      <c r="B524" s="17" t="s">
        <v>37</v>
      </c>
      <c r="C524" s="16">
        <v>42885.342314814814</v>
      </c>
      <c r="D524" s="17" t="s">
        <v>5</v>
      </c>
      <c r="E524" s="17" t="s">
        <v>41</v>
      </c>
      <c r="F524" s="16">
        <v>42885.370393518519</v>
      </c>
      <c r="G524" s="16">
        <v>42892.654421296298</v>
      </c>
      <c r="H524" s="16"/>
      <c r="I524" s="11">
        <v>524</v>
      </c>
    </row>
    <row r="525" spans="1:9" x14ac:dyDescent="0.2">
      <c r="A525" s="17" t="s">
        <v>130</v>
      </c>
      <c r="B525" s="17" t="s">
        <v>37</v>
      </c>
      <c r="C525" s="16">
        <v>42885.342314814814</v>
      </c>
      <c r="D525" s="17" t="s">
        <v>6</v>
      </c>
      <c r="E525" s="17" t="s">
        <v>61</v>
      </c>
      <c r="F525" s="16">
        <v>42887.627326388887</v>
      </c>
      <c r="G525" s="16">
        <v>42892.654421296298</v>
      </c>
      <c r="H525" s="16"/>
      <c r="I525" s="11">
        <v>525</v>
      </c>
    </row>
    <row r="526" spans="1:9" x14ac:dyDescent="0.2">
      <c r="A526" s="17" t="s">
        <v>129</v>
      </c>
      <c r="B526" s="17" t="s">
        <v>37</v>
      </c>
      <c r="C526" s="16">
        <v>42885.369131944448</v>
      </c>
      <c r="D526" s="17" t="s">
        <v>5</v>
      </c>
      <c r="E526" s="17" t="s">
        <v>40</v>
      </c>
      <c r="F526" s="16">
        <v>42885.369166666664</v>
      </c>
      <c r="G526" s="16"/>
      <c r="H526" s="16"/>
      <c r="I526" s="11">
        <v>526</v>
      </c>
    </row>
    <row r="527" spans="1:9" x14ac:dyDescent="0.2">
      <c r="A527" s="17" t="s">
        <v>129</v>
      </c>
      <c r="B527" s="17" t="s">
        <v>37</v>
      </c>
      <c r="C527" s="16">
        <v>42885.369131944448</v>
      </c>
      <c r="D527" s="17" t="s">
        <v>5</v>
      </c>
      <c r="E527" s="17" t="s">
        <v>36</v>
      </c>
      <c r="F527" s="16">
        <v>42885.371180555558</v>
      </c>
      <c r="G527" s="16"/>
      <c r="H527" s="16"/>
      <c r="I527" s="11">
        <v>527</v>
      </c>
    </row>
    <row r="528" spans="1:9" x14ac:dyDescent="0.2">
      <c r="A528" s="17" t="s">
        <v>129</v>
      </c>
      <c r="B528" s="17" t="s">
        <v>37</v>
      </c>
      <c r="C528" s="16">
        <v>42885.369131944448</v>
      </c>
      <c r="D528" s="17" t="s">
        <v>6</v>
      </c>
      <c r="E528" s="17" t="s">
        <v>39</v>
      </c>
      <c r="F528" s="16">
        <v>42885.473032407404</v>
      </c>
      <c r="G528" s="16"/>
      <c r="H528" s="16"/>
      <c r="I528" s="11">
        <v>528</v>
      </c>
    </row>
    <row r="529" spans="1:9" x14ac:dyDescent="0.2">
      <c r="A529" s="17" t="s">
        <v>129</v>
      </c>
      <c r="B529" s="17" t="s">
        <v>37</v>
      </c>
      <c r="C529" s="16">
        <v>42885.369131944448</v>
      </c>
      <c r="D529" s="17" t="s">
        <v>5</v>
      </c>
      <c r="E529" s="17" t="s">
        <v>41</v>
      </c>
      <c r="F529" s="16">
        <v>42885.476157407407</v>
      </c>
      <c r="G529" s="16"/>
      <c r="H529" s="16"/>
      <c r="I529" s="11">
        <v>529</v>
      </c>
    </row>
    <row r="530" spans="1:9" x14ac:dyDescent="0.2">
      <c r="A530" s="17" t="s">
        <v>129</v>
      </c>
      <c r="B530" s="17" t="s">
        <v>37</v>
      </c>
      <c r="C530" s="16">
        <v>42885.369131944448</v>
      </c>
      <c r="D530" s="17" t="s">
        <v>6</v>
      </c>
      <c r="E530" s="17" t="s">
        <v>118</v>
      </c>
      <c r="F530" s="16">
        <v>42887.401296296295</v>
      </c>
      <c r="G530" s="16"/>
      <c r="H530" s="16"/>
      <c r="I530" s="11">
        <v>530</v>
      </c>
    </row>
    <row r="531" spans="1:9" x14ac:dyDescent="0.2">
      <c r="A531" s="17" t="s">
        <v>128</v>
      </c>
      <c r="B531" s="17" t="s">
        <v>37</v>
      </c>
      <c r="C531" s="16">
        <v>42885.400185185186</v>
      </c>
      <c r="D531" s="17" t="s">
        <v>5</v>
      </c>
      <c r="E531" s="17" t="s">
        <v>40</v>
      </c>
      <c r="F531" s="16">
        <v>42885.400254629632</v>
      </c>
      <c r="G531" s="16"/>
      <c r="H531" s="16"/>
      <c r="I531" s="11">
        <v>531</v>
      </c>
    </row>
    <row r="532" spans="1:9" x14ac:dyDescent="0.2">
      <c r="A532" s="17" t="s">
        <v>128</v>
      </c>
      <c r="B532" s="17" t="s">
        <v>37</v>
      </c>
      <c r="C532" s="16">
        <v>42885.400185185186</v>
      </c>
      <c r="D532" s="17" t="s">
        <v>5</v>
      </c>
      <c r="E532" s="17" t="s">
        <v>36</v>
      </c>
      <c r="F532" s="16">
        <v>42885.400868055556</v>
      </c>
      <c r="G532" s="16"/>
      <c r="H532" s="16"/>
      <c r="I532" s="11">
        <v>532</v>
      </c>
    </row>
    <row r="533" spans="1:9" x14ac:dyDescent="0.2">
      <c r="A533" s="17" t="s">
        <v>128</v>
      </c>
      <c r="B533" s="17" t="s">
        <v>37</v>
      </c>
      <c r="C533" s="16">
        <v>42885.400185185186</v>
      </c>
      <c r="D533" s="17" t="s">
        <v>5</v>
      </c>
      <c r="E533" s="17" t="s">
        <v>41</v>
      </c>
      <c r="F533" s="16">
        <v>42885.446770833332</v>
      </c>
      <c r="G533" s="16"/>
      <c r="H533" s="16"/>
      <c r="I533" s="11">
        <v>533</v>
      </c>
    </row>
    <row r="534" spans="1:9" x14ac:dyDescent="0.2">
      <c r="A534" s="17" t="s">
        <v>128</v>
      </c>
      <c r="B534" s="17" t="s">
        <v>37</v>
      </c>
      <c r="C534" s="16">
        <v>42885.400185185186</v>
      </c>
      <c r="D534" s="17" t="s">
        <v>6</v>
      </c>
      <c r="E534" s="17" t="s">
        <v>61</v>
      </c>
      <c r="F534" s="16">
        <v>42887.632025462961</v>
      </c>
      <c r="G534" s="16"/>
      <c r="H534" s="16"/>
      <c r="I534" s="11">
        <v>534</v>
      </c>
    </row>
    <row r="535" spans="1:9" x14ac:dyDescent="0.2">
      <c r="A535" s="17" t="s">
        <v>127</v>
      </c>
      <c r="B535" s="17" t="s">
        <v>37</v>
      </c>
      <c r="C535" s="16">
        <v>42885.428703703707</v>
      </c>
      <c r="D535" s="17" t="s">
        <v>5</v>
      </c>
      <c r="E535" s="17" t="s">
        <v>40</v>
      </c>
      <c r="F535" s="16">
        <v>42885.428738425922</v>
      </c>
      <c r="G535" s="16"/>
      <c r="H535" s="16"/>
      <c r="I535" s="11">
        <v>535</v>
      </c>
    </row>
    <row r="536" spans="1:9" x14ac:dyDescent="0.2">
      <c r="A536" s="17" t="s">
        <v>127</v>
      </c>
      <c r="B536" s="17" t="s">
        <v>37</v>
      </c>
      <c r="C536" s="16">
        <v>42885.428703703707</v>
      </c>
      <c r="D536" s="17" t="s">
        <v>5</v>
      </c>
      <c r="E536" s="17" t="s">
        <v>36</v>
      </c>
      <c r="F536" s="16">
        <v>42885.42900462963</v>
      </c>
      <c r="G536" s="16"/>
      <c r="H536" s="16"/>
      <c r="I536" s="11">
        <v>536</v>
      </c>
    </row>
    <row r="537" spans="1:9" x14ac:dyDescent="0.2">
      <c r="A537" s="17" t="s">
        <v>127</v>
      </c>
      <c r="B537" s="17" t="s">
        <v>37</v>
      </c>
      <c r="C537" s="16">
        <v>42885.428703703707</v>
      </c>
      <c r="D537" s="17" t="s">
        <v>5</v>
      </c>
      <c r="E537" s="17" t="s">
        <v>41</v>
      </c>
      <c r="F537" s="16">
        <v>42885.480381944442</v>
      </c>
      <c r="G537" s="16"/>
      <c r="H537" s="16"/>
      <c r="I537" s="11">
        <v>537</v>
      </c>
    </row>
    <row r="538" spans="1:9" x14ac:dyDescent="0.2">
      <c r="A538" s="17" t="s">
        <v>127</v>
      </c>
      <c r="B538" s="17" t="s">
        <v>37</v>
      </c>
      <c r="C538" s="16">
        <v>42885.428703703707</v>
      </c>
      <c r="D538" s="17" t="s">
        <v>6</v>
      </c>
      <c r="E538" s="17" t="s">
        <v>118</v>
      </c>
      <c r="F538" s="16">
        <v>42885.690046296295</v>
      </c>
      <c r="G538" s="16"/>
      <c r="H538" s="16"/>
      <c r="I538" s="11">
        <v>538</v>
      </c>
    </row>
    <row r="539" spans="1:9" x14ac:dyDescent="0.2">
      <c r="A539" s="17" t="s">
        <v>126</v>
      </c>
      <c r="B539" s="17" t="s">
        <v>37</v>
      </c>
      <c r="C539" s="16">
        <v>42885.548437500001</v>
      </c>
      <c r="D539" s="17" t="s">
        <v>5</v>
      </c>
      <c r="E539" s="17" t="s">
        <v>40</v>
      </c>
      <c r="F539" s="16">
        <v>42885.54855324074</v>
      </c>
      <c r="G539" s="16"/>
      <c r="H539" s="16"/>
      <c r="I539" s="11">
        <v>539</v>
      </c>
    </row>
    <row r="540" spans="1:9" x14ac:dyDescent="0.2">
      <c r="A540" s="17" t="s">
        <v>126</v>
      </c>
      <c r="B540" s="17" t="s">
        <v>37</v>
      </c>
      <c r="C540" s="16">
        <v>42885.548437500001</v>
      </c>
      <c r="D540" s="17" t="s">
        <v>5</v>
      </c>
      <c r="E540" s="17" t="s">
        <v>36</v>
      </c>
      <c r="F540" s="16">
        <v>42885.548958333333</v>
      </c>
      <c r="G540" s="16"/>
      <c r="H540" s="16"/>
      <c r="I540" s="11">
        <v>540</v>
      </c>
    </row>
    <row r="541" spans="1:9" x14ac:dyDescent="0.2">
      <c r="A541" s="17" t="s">
        <v>126</v>
      </c>
      <c r="B541" s="17" t="s">
        <v>37</v>
      </c>
      <c r="C541" s="16">
        <v>42885.548437500001</v>
      </c>
      <c r="D541" s="17" t="s">
        <v>6</v>
      </c>
      <c r="E541" s="17" t="s">
        <v>39</v>
      </c>
      <c r="F541" s="16">
        <v>42885.552511574075</v>
      </c>
      <c r="G541" s="16"/>
      <c r="H541" s="16"/>
      <c r="I541" s="11">
        <v>541</v>
      </c>
    </row>
    <row r="542" spans="1:9" x14ac:dyDescent="0.2">
      <c r="A542" s="17" t="s">
        <v>126</v>
      </c>
      <c r="B542" s="17" t="s">
        <v>37</v>
      </c>
      <c r="C542" s="16">
        <v>42885.548437500001</v>
      </c>
      <c r="D542" s="17" t="s">
        <v>5</v>
      </c>
      <c r="E542" s="17" t="s">
        <v>41</v>
      </c>
      <c r="F542" s="16">
        <v>42885.556273148148</v>
      </c>
      <c r="G542" s="16"/>
      <c r="H542" s="16"/>
      <c r="I542" s="11">
        <v>542</v>
      </c>
    </row>
    <row r="543" spans="1:9" x14ac:dyDescent="0.2">
      <c r="A543" s="17" t="s">
        <v>126</v>
      </c>
      <c r="B543" s="17" t="s">
        <v>37</v>
      </c>
      <c r="C543" s="16">
        <v>42885.548437500001</v>
      </c>
      <c r="D543" s="17" t="s">
        <v>6</v>
      </c>
      <c r="E543" s="17" t="s">
        <v>61</v>
      </c>
      <c r="F543" s="16">
        <v>42887.634525462963</v>
      </c>
      <c r="G543" s="16"/>
      <c r="H543" s="16"/>
      <c r="I543" s="11">
        <v>543</v>
      </c>
    </row>
    <row r="544" spans="1:9" x14ac:dyDescent="0.2">
      <c r="A544" s="17" t="s">
        <v>125</v>
      </c>
      <c r="B544" s="17" t="s">
        <v>37</v>
      </c>
      <c r="C544" s="16">
        <v>42885.606956018521</v>
      </c>
      <c r="D544" s="17" t="s">
        <v>5</v>
      </c>
      <c r="E544" s="17" t="s">
        <v>40</v>
      </c>
      <c r="F544" s="16">
        <v>42885.60701388889</v>
      </c>
      <c r="G544" s="16"/>
      <c r="H544" s="16"/>
      <c r="I544" s="11">
        <v>544</v>
      </c>
    </row>
    <row r="545" spans="1:9" x14ac:dyDescent="0.2">
      <c r="A545" s="17" t="s">
        <v>125</v>
      </c>
      <c r="B545" s="17" t="s">
        <v>37</v>
      </c>
      <c r="C545" s="16">
        <v>42885.606956018521</v>
      </c>
      <c r="D545" s="17" t="s">
        <v>5</v>
      </c>
      <c r="E545" s="17" t="s">
        <v>36</v>
      </c>
      <c r="F545" s="16">
        <v>42885.608182870368</v>
      </c>
      <c r="G545" s="16"/>
      <c r="H545" s="16"/>
      <c r="I545" s="11">
        <v>545</v>
      </c>
    </row>
    <row r="546" spans="1:9" x14ac:dyDescent="0.2">
      <c r="A546" s="17" t="s">
        <v>125</v>
      </c>
      <c r="B546" s="17" t="s">
        <v>37</v>
      </c>
      <c r="C546" s="16">
        <v>42885.606956018521</v>
      </c>
      <c r="D546" s="17" t="s">
        <v>6</v>
      </c>
      <c r="E546" s="17" t="s">
        <v>39</v>
      </c>
      <c r="F546" s="16">
        <v>42885.634930555556</v>
      </c>
      <c r="G546" s="16"/>
      <c r="H546" s="16"/>
      <c r="I546" s="11">
        <v>546</v>
      </c>
    </row>
    <row r="547" spans="1:9" x14ac:dyDescent="0.2">
      <c r="A547" s="17" t="s">
        <v>125</v>
      </c>
      <c r="B547" s="17" t="s">
        <v>37</v>
      </c>
      <c r="C547" s="16">
        <v>42885.606956018521</v>
      </c>
      <c r="D547" s="17" t="s">
        <v>6</v>
      </c>
      <c r="E547" s="17" t="s">
        <v>39</v>
      </c>
      <c r="F547" s="16">
        <v>42885.768576388888</v>
      </c>
      <c r="G547" s="16"/>
      <c r="H547" s="16"/>
      <c r="I547" s="11">
        <v>547</v>
      </c>
    </row>
    <row r="548" spans="1:9" x14ac:dyDescent="0.2">
      <c r="A548" s="17" t="s">
        <v>125</v>
      </c>
      <c r="B548" s="17" t="s">
        <v>37</v>
      </c>
      <c r="C548" s="16">
        <v>42885.606956018521</v>
      </c>
      <c r="D548" s="17" t="s">
        <v>5</v>
      </c>
      <c r="E548" s="17" t="s">
        <v>46</v>
      </c>
      <c r="F548" s="16">
        <v>42886.611805555556</v>
      </c>
      <c r="G548" s="16"/>
      <c r="H548" s="16"/>
      <c r="I548" s="11">
        <v>548</v>
      </c>
    </row>
    <row r="549" spans="1:9" x14ac:dyDescent="0.2">
      <c r="A549" s="17" t="s">
        <v>125</v>
      </c>
      <c r="B549" s="17" t="s">
        <v>37</v>
      </c>
      <c r="C549" s="16">
        <v>42885.606956018521</v>
      </c>
      <c r="D549" s="17" t="s">
        <v>6</v>
      </c>
      <c r="E549" s="17" t="s">
        <v>107</v>
      </c>
      <c r="F549" s="16">
        <v>42886.630416666667</v>
      </c>
      <c r="G549" s="16"/>
      <c r="H549" s="16"/>
      <c r="I549" s="11">
        <v>549</v>
      </c>
    </row>
    <row r="550" spans="1:9" x14ac:dyDescent="0.2">
      <c r="A550" s="17" t="s">
        <v>124</v>
      </c>
      <c r="B550" s="17" t="s">
        <v>37</v>
      </c>
      <c r="C550" s="16">
        <v>42886.493969907409</v>
      </c>
      <c r="D550" s="17" t="s">
        <v>5</v>
      </c>
      <c r="E550" s="17" t="s">
        <v>40</v>
      </c>
      <c r="F550" s="16">
        <v>42886.493981481479</v>
      </c>
      <c r="G550" s="16"/>
      <c r="H550" s="16"/>
      <c r="I550" s="11">
        <v>550</v>
      </c>
    </row>
    <row r="551" spans="1:9" x14ac:dyDescent="0.2">
      <c r="A551" s="17" t="s">
        <v>124</v>
      </c>
      <c r="B551" s="17" t="s">
        <v>37</v>
      </c>
      <c r="C551" s="16">
        <v>42886.493969907409</v>
      </c>
      <c r="D551" s="17" t="s">
        <v>5</v>
      </c>
      <c r="E551" s="17" t="s">
        <v>51</v>
      </c>
      <c r="F551" s="16">
        <v>42886.496145833335</v>
      </c>
      <c r="G551" s="16"/>
      <c r="H551" s="16"/>
      <c r="I551" s="11">
        <v>551</v>
      </c>
    </row>
    <row r="552" spans="1:9" x14ac:dyDescent="0.2">
      <c r="A552" s="17" t="s">
        <v>121</v>
      </c>
      <c r="B552" s="17" t="s">
        <v>37</v>
      </c>
      <c r="C552" s="16">
        <v>42887.495046296295</v>
      </c>
      <c r="D552" s="17" t="s">
        <v>5</v>
      </c>
      <c r="E552" s="17" t="s">
        <v>40</v>
      </c>
      <c r="F552" s="16">
        <v>42887.495057870372</v>
      </c>
      <c r="G552" s="16"/>
      <c r="H552" s="16"/>
      <c r="I552" s="11">
        <v>552</v>
      </c>
    </row>
    <row r="553" spans="1:9" x14ac:dyDescent="0.2">
      <c r="A553" s="17" t="s">
        <v>121</v>
      </c>
      <c r="B553" s="17" t="s">
        <v>37</v>
      </c>
      <c r="C553" s="16">
        <v>42887.495046296295</v>
      </c>
      <c r="D553" s="17" t="s">
        <v>5</v>
      </c>
      <c r="E553" s="17" t="s">
        <v>123</v>
      </c>
      <c r="F553" s="16">
        <v>42887.497650462959</v>
      </c>
      <c r="G553" s="16"/>
      <c r="H553" s="16"/>
      <c r="I553" s="11">
        <v>553</v>
      </c>
    </row>
    <row r="554" spans="1:9" x14ac:dyDescent="0.2">
      <c r="A554" s="17" t="s">
        <v>121</v>
      </c>
      <c r="B554" s="17" t="s">
        <v>37</v>
      </c>
      <c r="C554" s="16">
        <v>42887.495046296295</v>
      </c>
      <c r="D554" s="17" t="s">
        <v>6</v>
      </c>
      <c r="E554" s="17" t="s">
        <v>122</v>
      </c>
      <c r="F554" s="16">
        <v>42887.50540509259</v>
      </c>
      <c r="G554" s="16"/>
      <c r="H554" s="16"/>
      <c r="I554" s="11">
        <v>554</v>
      </c>
    </row>
    <row r="555" spans="1:9" x14ac:dyDescent="0.2">
      <c r="A555" s="17" t="s">
        <v>121</v>
      </c>
      <c r="B555" s="17" t="s">
        <v>37</v>
      </c>
      <c r="C555" s="16">
        <v>42887.495046296295</v>
      </c>
      <c r="D555" s="17" t="s">
        <v>5</v>
      </c>
      <c r="E555" s="17" t="s">
        <v>40</v>
      </c>
      <c r="F555" s="16">
        <v>42893.407534722224</v>
      </c>
      <c r="G555" s="16"/>
      <c r="H555" s="16"/>
      <c r="I555" s="11">
        <v>555</v>
      </c>
    </row>
    <row r="556" spans="1:9" x14ac:dyDescent="0.2">
      <c r="A556" s="17" t="s">
        <v>121</v>
      </c>
      <c r="B556" s="17" t="s">
        <v>37</v>
      </c>
      <c r="C556" s="16">
        <v>42887.495046296295</v>
      </c>
      <c r="D556" s="17" t="s">
        <v>5</v>
      </c>
      <c r="E556" s="17" t="s">
        <v>41</v>
      </c>
      <c r="F556" s="16">
        <v>42893.465671296297</v>
      </c>
      <c r="G556" s="16"/>
      <c r="H556" s="16"/>
      <c r="I556" s="11">
        <v>556</v>
      </c>
    </row>
    <row r="557" spans="1:9" x14ac:dyDescent="0.2">
      <c r="A557" s="17" t="s">
        <v>121</v>
      </c>
      <c r="B557" s="17" t="s">
        <v>37</v>
      </c>
      <c r="C557" s="16">
        <v>42887.495046296295</v>
      </c>
      <c r="D557" s="17" t="s">
        <v>6</v>
      </c>
      <c r="E557" s="17" t="s">
        <v>61</v>
      </c>
      <c r="F557" s="16">
        <v>42894.741678240738</v>
      </c>
      <c r="G557" s="16"/>
      <c r="H557" s="16"/>
      <c r="I557" s="11">
        <v>557</v>
      </c>
    </row>
    <row r="558" spans="1:9" x14ac:dyDescent="0.2">
      <c r="A558" s="17" t="s">
        <v>120</v>
      </c>
      <c r="B558" s="17" t="s">
        <v>37</v>
      </c>
      <c r="C558" s="16">
        <v>42888.354479166665</v>
      </c>
      <c r="D558" s="17" t="s">
        <v>5</v>
      </c>
      <c r="E558" s="17" t="s">
        <v>40</v>
      </c>
      <c r="F558" s="16">
        <v>42888.354571759257</v>
      </c>
      <c r="G558" s="16"/>
      <c r="H558" s="16"/>
      <c r="I558" s="11">
        <v>558</v>
      </c>
    </row>
    <row r="559" spans="1:9" x14ac:dyDescent="0.2">
      <c r="A559" s="17" t="s">
        <v>120</v>
      </c>
      <c r="B559" s="17" t="s">
        <v>37</v>
      </c>
      <c r="C559" s="16">
        <v>42888.354479166665</v>
      </c>
      <c r="D559" s="17" t="s">
        <v>5</v>
      </c>
      <c r="E559" s="17" t="s">
        <v>57</v>
      </c>
      <c r="F559" s="16">
        <v>42888.35527777778</v>
      </c>
      <c r="G559" s="16"/>
      <c r="H559" s="16"/>
      <c r="I559" s="11">
        <v>559</v>
      </c>
    </row>
    <row r="560" spans="1:9" x14ac:dyDescent="0.2">
      <c r="A560" s="17" t="s">
        <v>120</v>
      </c>
      <c r="B560" s="17" t="s">
        <v>37</v>
      </c>
      <c r="C560" s="16">
        <v>42888.354479166665</v>
      </c>
      <c r="D560" s="17" t="s">
        <v>6</v>
      </c>
      <c r="E560" s="17" t="s">
        <v>111</v>
      </c>
      <c r="F560" s="16">
        <v>42888.464189814818</v>
      </c>
      <c r="G560" s="16"/>
      <c r="H560" s="16"/>
      <c r="I560" s="11">
        <v>560</v>
      </c>
    </row>
    <row r="561" spans="1:9" x14ac:dyDescent="0.2">
      <c r="A561" s="17" t="s">
        <v>119</v>
      </c>
      <c r="B561" s="17" t="s">
        <v>37</v>
      </c>
      <c r="C561" s="16">
        <v>42888.379907407405</v>
      </c>
      <c r="D561" s="17" t="s">
        <v>5</v>
      </c>
      <c r="E561" s="17" t="s">
        <v>40</v>
      </c>
      <c r="F561" s="16">
        <v>42888.379930555559</v>
      </c>
      <c r="G561" s="16"/>
      <c r="H561" s="16"/>
      <c r="I561" s="11">
        <v>561</v>
      </c>
    </row>
    <row r="562" spans="1:9" x14ac:dyDescent="0.2">
      <c r="A562" s="17" t="s">
        <v>119</v>
      </c>
      <c r="B562" s="17" t="s">
        <v>37</v>
      </c>
      <c r="C562" s="16">
        <v>42888.379907407405</v>
      </c>
      <c r="D562" s="17" t="s">
        <v>5</v>
      </c>
      <c r="E562" s="17" t="s">
        <v>46</v>
      </c>
      <c r="F562" s="16">
        <v>42888.386574074073</v>
      </c>
      <c r="G562" s="16"/>
      <c r="H562" s="16"/>
      <c r="I562" s="11">
        <v>562</v>
      </c>
    </row>
    <row r="563" spans="1:9" x14ac:dyDescent="0.2">
      <c r="A563" s="17" t="s">
        <v>119</v>
      </c>
      <c r="B563" s="17" t="s">
        <v>37</v>
      </c>
      <c r="C563" s="16">
        <v>42888.379907407405</v>
      </c>
      <c r="D563" s="17" t="s">
        <v>6</v>
      </c>
      <c r="E563" s="17" t="s">
        <v>49</v>
      </c>
      <c r="F563" s="16">
        <v>42891.405092592591</v>
      </c>
      <c r="G563" s="16"/>
      <c r="H563" s="16"/>
      <c r="I563" s="11">
        <v>563</v>
      </c>
    </row>
    <row r="564" spans="1:9" x14ac:dyDescent="0.2">
      <c r="A564" s="17" t="s">
        <v>119</v>
      </c>
      <c r="B564" s="17" t="s">
        <v>37</v>
      </c>
      <c r="C564" s="16">
        <v>42888.379907407405</v>
      </c>
      <c r="D564" s="17" t="s">
        <v>5</v>
      </c>
      <c r="E564" s="17" t="s">
        <v>41</v>
      </c>
      <c r="F564" s="16">
        <v>42893.56994212963</v>
      </c>
      <c r="G564" s="16"/>
      <c r="H564" s="16"/>
      <c r="I564" s="11">
        <v>564</v>
      </c>
    </row>
    <row r="565" spans="1:9" x14ac:dyDescent="0.2">
      <c r="A565" s="17" t="s">
        <v>119</v>
      </c>
      <c r="B565" s="17" t="s">
        <v>37</v>
      </c>
      <c r="C565" s="16">
        <v>42888.379907407405</v>
      </c>
      <c r="D565" s="17" t="s">
        <v>6</v>
      </c>
      <c r="E565" s="17" t="s">
        <v>118</v>
      </c>
      <c r="F565" s="16">
        <v>42894.470983796295</v>
      </c>
      <c r="G565" s="16"/>
      <c r="H565" s="16"/>
      <c r="I565" s="11">
        <v>565</v>
      </c>
    </row>
    <row r="566" spans="1:9" x14ac:dyDescent="0.2">
      <c r="A566" s="17" t="s">
        <v>117</v>
      </c>
      <c r="B566" s="17" t="s">
        <v>37</v>
      </c>
      <c r="C566" s="16">
        <v>42888.421400462961</v>
      </c>
      <c r="D566" s="17" t="s">
        <v>5</v>
      </c>
      <c r="E566" s="17" t="s">
        <v>40</v>
      </c>
      <c r="F566" s="16">
        <v>42888.421469907407</v>
      </c>
      <c r="G566" s="16"/>
      <c r="H566" s="16"/>
      <c r="I566" s="11">
        <v>566</v>
      </c>
    </row>
    <row r="567" spans="1:9" x14ac:dyDescent="0.2">
      <c r="A567" s="17" t="s">
        <v>117</v>
      </c>
      <c r="B567" s="17" t="s">
        <v>37</v>
      </c>
      <c r="C567" s="16">
        <v>42888.421400462961</v>
      </c>
      <c r="D567" s="17" t="s">
        <v>5</v>
      </c>
      <c r="E567" s="17" t="s">
        <v>36</v>
      </c>
      <c r="F567" s="16">
        <v>42888.423715277779</v>
      </c>
      <c r="G567" s="16"/>
      <c r="H567" s="16"/>
      <c r="I567" s="11">
        <v>567</v>
      </c>
    </row>
    <row r="568" spans="1:9" x14ac:dyDescent="0.2">
      <c r="A568" s="17" t="s">
        <v>117</v>
      </c>
      <c r="B568" s="17" t="s">
        <v>37</v>
      </c>
      <c r="C568" s="16">
        <v>42888.421400462961</v>
      </c>
      <c r="D568" s="17" t="s">
        <v>6</v>
      </c>
      <c r="E568" s="17" t="s">
        <v>56</v>
      </c>
      <c r="F568" s="16">
        <v>42888.423715277779</v>
      </c>
      <c r="G568" s="16"/>
      <c r="H568" s="16"/>
      <c r="I568" s="11">
        <v>568</v>
      </c>
    </row>
    <row r="569" spans="1:9" x14ac:dyDescent="0.2">
      <c r="A569" s="17" t="s">
        <v>116</v>
      </c>
      <c r="B569" s="17" t="s">
        <v>37</v>
      </c>
      <c r="C569" s="16">
        <v>42888.457094907404</v>
      </c>
      <c r="D569" s="17" t="s">
        <v>5</v>
      </c>
      <c r="E569" s="17" t="s">
        <v>40</v>
      </c>
      <c r="F569" s="16">
        <v>42888.457129629627</v>
      </c>
      <c r="G569" s="16">
        <v>42888.46230324074</v>
      </c>
      <c r="H569" s="16"/>
      <c r="I569" s="11">
        <v>569</v>
      </c>
    </row>
    <row r="570" spans="1:9" x14ac:dyDescent="0.2">
      <c r="A570" s="17" t="s">
        <v>116</v>
      </c>
      <c r="B570" s="17" t="s">
        <v>37</v>
      </c>
      <c r="C570" s="16">
        <v>42888.457094907404</v>
      </c>
      <c r="D570" s="17" t="s">
        <v>5</v>
      </c>
      <c r="E570" s="17" t="s">
        <v>36</v>
      </c>
      <c r="F570" s="16">
        <v>42888.462337962963</v>
      </c>
      <c r="G570" s="16">
        <v>42888.46230324074</v>
      </c>
      <c r="H570" s="16"/>
      <c r="I570" s="11">
        <v>570</v>
      </c>
    </row>
    <row r="571" spans="1:9" x14ac:dyDescent="0.2">
      <c r="A571" s="17" t="s">
        <v>116</v>
      </c>
      <c r="B571" s="17" t="s">
        <v>37</v>
      </c>
      <c r="C571" s="16">
        <v>42888.457094907404</v>
      </c>
      <c r="D571" s="17" t="s">
        <v>6</v>
      </c>
      <c r="E571" s="17" t="s">
        <v>86</v>
      </c>
      <c r="F571" s="16">
        <v>42888.462337962963</v>
      </c>
      <c r="G571" s="16">
        <v>42888.46230324074</v>
      </c>
      <c r="H571" s="16"/>
      <c r="I571" s="11">
        <v>571</v>
      </c>
    </row>
    <row r="572" spans="1:9" x14ac:dyDescent="0.2">
      <c r="A572" s="17" t="s">
        <v>116</v>
      </c>
      <c r="B572" s="17" t="s">
        <v>37</v>
      </c>
      <c r="C572" s="16">
        <v>42888.457094907404</v>
      </c>
      <c r="D572" s="17" t="s">
        <v>6</v>
      </c>
      <c r="E572" s="17" t="s">
        <v>39</v>
      </c>
      <c r="F572" s="16">
        <v>42888.628263888888</v>
      </c>
      <c r="G572" s="16">
        <v>42888.46230324074</v>
      </c>
      <c r="H572" s="16"/>
      <c r="I572" s="11">
        <v>572</v>
      </c>
    </row>
    <row r="573" spans="1:9" x14ac:dyDescent="0.2">
      <c r="A573" s="17" t="s">
        <v>115</v>
      </c>
      <c r="B573" s="17" t="s">
        <v>37</v>
      </c>
      <c r="C573" s="16">
        <v>42888.605856481481</v>
      </c>
      <c r="D573" s="17" t="s">
        <v>5</v>
      </c>
      <c r="E573" s="17" t="s">
        <v>40</v>
      </c>
      <c r="F573" s="16">
        <v>42888.605949074074</v>
      </c>
      <c r="G573" s="16"/>
      <c r="H573" s="16"/>
      <c r="I573" s="11">
        <v>573</v>
      </c>
    </row>
    <row r="574" spans="1:9" x14ac:dyDescent="0.2">
      <c r="A574" s="17" t="s">
        <v>115</v>
      </c>
      <c r="B574" s="17" t="s">
        <v>37</v>
      </c>
      <c r="C574" s="16">
        <v>42888.605856481481</v>
      </c>
      <c r="D574" s="17" t="s">
        <v>5</v>
      </c>
      <c r="E574" s="17" t="s">
        <v>46</v>
      </c>
      <c r="F574" s="16">
        <v>42888.620324074072</v>
      </c>
      <c r="G574" s="16"/>
      <c r="H574" s="16"/>
      <c r="I574" s="11">
        <v>574</v>
      </c>
    </row>
    <row r="575" spans="1:9" x14ac:dyDescent="0.2">
      <c r="A575" s="17" t="s">
        <v>115</v>
      </c>
      <c r="B575" s="17" t="s">
        <v>37</v>
      </c>
      <c r="C575" s="16">
        <v>42888.605856481481</v>
      </c>
      <c r="D575" s="17" t="s">
        <v>6</v>
      </c>
      <c r="E575" s="17" t="s">
        <v>82</v>
      </c>
      <c r="F575" s="16">
        <v>42891.405324074076</v>
      </c>
      <c r="G575" s="16"/>
      <c r="H575" s="16"/>
      <c r="I575" s="11">
        <v>575</v>
      </c>
    </row>
    <row r="576" spans="1:9" x14ac:dyDescent="0.2">
      <c r="A576" s="17" t="s">
        <v>115</v>
      </c>
      <c r="B576" s="17" t="s">
        <v>37</v>
      </c>
      <c r="C576" s="16">
        <v>42888.605856481481</v>
      </c>
      <c r="D576" s="17" t="s">
        <v>5</v>
      </c>
      <c r="E576" s="17" t="s">
        <v>36</v>
      </c>
      <c r="F576" s="16">
        <v>42891.676863425928</v>
      </c>
      <c r="G576" s="16"/>
      <c r="H576" s="16"/>
      <c r="I576" s="11">
        <v>576</v>
      </c>
    </row>
    <row r="577" spans="1:9" x14ac:dyDescent="0.2">
      <c r="A577" s="17" t="s">
        <v>115</v>
      </c>
      <c r="B577" s="17" t="s">
        <v>37</v>
      </c>
      <c r="C577" s="16">
        <v>42888.605856481481</v>
      </c>
      <c r="D577" s="17" t="s">
        <v>6</v>
      </c>
      <c r="E577" s="17" t="s">
        <v>39</v>
      </c>
      <c r="F577" s="16">
        <v>42891.748854166668</v>
      </c>
      <c r="G577" s="16"/>
      <c r="H577" s="16"/>
      <c r="I577" s="11">
        <v>577</v>
      </c>
    </row>
    <row r="578" spans="1:9" x14ac:dyDescent="0.2">
      <c r="A578" s="17" t="s">
        <v>115</v>
      </c>
      <c r="B578" s="17" t="s">
        <v>37</v>
      </c>
      <c r="C578" s="16">
        <v>42888.605856481481</v>
      </c>
      <c r="D578" s="17" t="s">
        <v>5</v>
      </c>
      <c r="E578" s="17" t="s">
        <v>46</v>
      </c>
      <c r="F578" s="16">
        <v>42893.472314814811</v>
      </c>
      <c r="G578" s="16"/>
      <c r="H578" s="16"/>
      <c r="I578" s="11">
        <v>578</v>
      </c>
    </row>
    <row r="579" spans="1:9" x14ac:dyDescent="0.2">
      <c r="A579" s="17" t="s">
        <v>115</v>
      </c>
      <c r="B579" s="17" t="s">
        <v>37</v>
      </c>
      <c r="C579" s="16">
        <v>42888.605856481481</v>
      </c>
      <c r="D579" s="17" t="s">
        <v>6</v>
      </c>
      <c r="E579" s="17" t="s">
        <v>44</v>
      </c>
      <c r="F579" s="16">
        <v>42893.478298611109</v>
      </c>
      <c r="G579" s="16"/>
      <c r="H579" s="16"/>
      <c r="I579" s="11">
        <v>579</v>
      </c>
    </row>
    <row r="580" spans="1:9" x14ac:dyDescent="0.2">
      <c r="A580" s="17" t="s">
        <v>114</v>
      </c>
      <c r="B580" s="17" t="s">
        <v>37</v>
      </c>
      <c r="C580" s="16">
        <v>42888.630879629629</v>
      </c>
      <c r="D580" s="17" t="s">
        <v>5</v>
      </c>
      <c r="E580" s="17" t="s">
        <v>40</v>
      </c>
      <c r="F580" s="16">
        <v>42888.630949074075</v>
      </c>
      <c r="G580" s="16"/>
      <c r="H580" s="16"/>
      <c r="I580" s="11">
        <v>580</v>
      </c>
    </row>
    <row r="581" spans="1:9" x14ac:dyDescent="0.2">
      <c r="A581" s="17" t="s">
        <v>114</v>
      </c>
      <c r="B581" s="17" t="s">
        <v>37</v>
      </c>
      <c r="C581" s="16">
        <v>42888.630879629629</v>
      </c>
      <c r="D581" s="17" t="s">
        <v>5</v>
      </c>
      <c r="E581" s="17" t="s">
        <v>36</v>
      </c>
      <c r="F581" s="16">
        <v>42888.636064814818</v>
      </c>
      <c r="G581" s="16"/>
      <c r="H581" s="16"/>
      <c r="I581" s="11">
        <v>581</v>
      </c>
    </row>
    <row r="582" spans="1:9" x14ac:dyDescent="0.2">
      <c r="A582" s="17" t="s">
        <v>114</v>
      </c>
      <c r="B582" s="17" t="s">
        <v>37</v>
      </c>
      <c r="C582" s="16">
        <v>42888.630879629629</v>
      </c>
      <c r="D582" s="17" t="s">
        <v>6</v>
      </c>
      <c r="E582" s="17" t="s">
        <v>60</v>
      </c>
      <c r="F582" s="16">
        <v>42888.636064814818</v>
      </c>
      <c r="G582" s="16"/>
      <c r="H582" s="16"/>
      <c r="I582" s="11">
        <v>582</v>
      </c>
    </row>
    <row r="583" spans="1:9" x14ac:dyDescent="0.2">
      <c r="A583" s="17" t="s">
        <v>113</v>
      </c>
      <c r="B583" s="17" t="s">
        <v>37</v>
      </c>
      <c r="C583" s="16">
        <v>42888.658321759256</v>
      </c>
      <c r="D583" s="17" t="s">
        <v>5</v>
      </c>
      <c r="E583" s="17" t="s">
        <v>36</v>
      </c>
      <c r="F583" s="16">
        <v>42888.668587962966</v>
      </c>
      <c r="G583" s="16"/>
      <c r="H583" s="16"/>
      <c r="I583" s="11">
        <v>583</v>
      </c>
    </row>
    <row r="584" spans="1:9" x14ac:dyDescent="0.2">
      <c r="A584" s="17" t="s">
        <v>113</v>
      </c>
      <c r="B584" s="17" t="s">
        <v>37</v>
      </c>
      <c r="C584" s="16">
        <v>42888.658321759256</v>
      </c>
      <c r="D584" s="17" t="s">
        <v>6</v>
      </c>
      <c r="E584" s="17" t="s">
        <v>92</v>
      </c>
      <c r="F584" s="16">
        <v>42888.670497685183</v>
      </c>
      <c r="G584" s="16"/>
      <c r="H584" s="16"/>
      <c r="I584" s="11">
        <v>584</v>
      </c>
    </row>
    <row r="585" spans="1:9" x14ac:dyDescent="0.2">
      <c r="A585" s="17" t="s">
        <v>112</v>
      </c>
      <c r="B585" s="17" t="s">
        <v>37</v>
      </c>
      <c r="C585" s="16">
        <v>42891.319953703707</v>
      </c>
      <c r="D585" s="17" t="s">
        <v>5</v>
      </c>
      <c r="E585" s="17" t="s">
        <v>40</v>
      </c>
      <c r="F585" s="16">
        <v>42891.319965277777</v>
      </c>
      <c r="G585" s="16"/>
      <c r="H585" s="16"/>
      <c r="I585" s="11">
        <v>585</v>
      </c>
    </row>
    <row r="586" spans="1:9" x14ac:dyDescent="0.2">
      <c r="A586" s="17" t="s">
        <v>112</v>
      </c>
      <c r="B586" s="17" t="s">
        <v>37</v>
      </c>
      <c r="C586" s="16">
        <v>42891.319953703707</v>
      </c>
      <c r="D586" s="17" t="s">
        <v>5</v>
      </c>
      <c r="E586" s="17" t="s">
        <v>57</v>
      </c>
      <c r="F586" s="16">
        <v>42891.323391203703</v>
      </c>
      <c r="G586" s="16"/>
      <c r="H586" s="16"/>
      <c r="I586" s="11">
        <v>586</v>
      </c>
    </row>
    <row r="587" spans="1:9" x14ac:dyDescent="0.2">
      <c r="A587" s="17" t="s">
        <v>112</v>
      </c>
      <c r="B587" s="17" t="s">
        <v>37</v>
      </c>
      <c r="C587" s="16">
        <v>42891.319953703707</v>
      </c>
      <c r="D587" s="17" t="s">
        <v>6</v>
      </c>
      <c r="E587" s="17" t="s">
        <v>111</v>
      </c>
      <c r="F587" s="16">
        <v>42891.550625000003</v>
      </c>
      <c r="G587" s="16"/>
      <c r="H587" s="16"/>
      <c r="I587" s="11">
        <v>587</v>
      </c>
    </row>
    <row r="588" spans="1:9" x14ac:dyDescent="0.2">
      <c r="A588" s="17" t="s">
        <v>110</v>
      </c>
      <c r="B588" s="17" t="s">
        <v>37</v>
      </c>
      <c r="C588" s="16">
        <v>42891.415185185186</v>
      </c>
      <c r="D588" s="17" t="s">
        <v>5</v>
      </c>
      <c r="E588" s="17" t="s">
        <v>40</v>
      </c>
      <c r="F588" s="16">
        <v>42891.415231481478</v>
      </c>
      <c r="G588" s="16"/>
      <c r="H588" s="16"/>
      <c r="I588" s="11">
        <v>588</v>
      </c>
    </row>
    <row r="589" spans="1:9" x14ac:dyDescent="0.2">
      <c r="A589" s="17" t="s">
        <v>110</v>
      </c>
      <c r="B589" s="17" t="s">
        <v>37</v>
      </c>
      <c r="C589" s="16">
        <v>42891.415185185186</v>
      </c>
      <c r="D589" s="17" t="s">
        <v>5</v>
      </c>
      <c r="E589" s="17" t="s">
        <v>36</v>
      </c>
      <c r="F589" s="16">
        <v>42891.420925925922</v>
      </c>
      <c r="G589" s="16"/>
      <c r="H589" s="16"/>
      <c r="I589" s="11">
        <v>589</v>
      </c>
    </row>
    <row r="590" spans="1:9" x14ac:dyDescent="0.2">
      <c r="A590" s="17" t="s">
        <v>110</v>
      </c>
      <c r="B590" s="17" t="s">
        <v>37</v>
      </c>
      <c r="C590" s="16">
        <v>42891.415185185186</v>
      </c>
      <c r="D590" s="17" t="s">
        <v>6</v>
      </c>
      <c r="E590" s="17" t="s">
        <v>64</v>
      </c>
      <c r="F590" s="16">
        <v>42891.420925925922</v>
      </c>
      <c r="G590" s="16"/>
      <c r="H590" s="16"/>
      <c r="I590" s="11">
        <v>590</v>
      </c>
    </row>
    <row r="591" spans="1:9" x14ac:dyDescent="0.2">
      <c r="A591" s="17" t="s">
        <v>110</v>
      </c>
      <c r="B591" s="17" t="s">
        <v>37</v>
      </c>
      <c r="C591" s="16">
        <v>42891.415185185186</v>
      </c>
      <c r="D591" s="17" t="s">
        <v>5</v>
      </c>
      <c r="E591" s="17" t="s">
        <v>46</v>
      </c>
      <c r="F591" s="16">
        <v>42893.318761574075</v>
      </c>
      <c r="G591" s="16"/>
      <c r="H591" s="16"/>
      <c r="I591" s="11">
        <v>591</v>
      </c>
    </row>
    <row r="592" spans="1:9" x14ac:dyDescent="0.2">
      <c r="A592" s="17" t="s">
        <v>110</v>
      </c>
      <c r="B592" s="17" t="s">
        <v>37</v>
      </c>
      <c r="C592" s="16">
        <v>42891.415185185186</v>
      </c>
      <c r="D592" s="17" t="s">
        <v>6</v>
      </c>
      <c r="E592" s="17" t="s">
        <v>44</v>
      </c>
      <c r="F592" s="16">
        <v>42893.348101851851</v>
      </c>
      <c r="G592" s="16"/>
      <c r="H592" s="16"/>
      <c r="I592" s="11">
        <v>592</v>
      </c>
    </row>
    <row r="593" spans="1:9" x14ac:dyDescent="0.2">
      <c r="A593" s="17" t="s">
        <v>109</v>
      </c>
      <c r="B593" s="17" t="s">
        <v>37</v>
      </c>
      <c r="C593" s="16">
        <v>42891.50503472222</v>
      </c>
      <c r="D593" s="17" t="s">
        <v>5</v>
      </c>
      <c r="E593" s="17" t="s">
        <v>40</v>
      </c>
      <c r="F593" s="16">
        <v>42891.505057870374</v>
      </c>
      <c r="G593" s="16"/>
      <c r="H593" s="16"/>
      <c r="I593" s="11">
        <v>593</v>
      </c>
    </row>
    <row r="594" spans="1:9" x14ac:dyDescent="0.2">
      <c r="A594" s="17" t="s">
        <v>109</v>
      </c>
      <c r="B594" s="17" t="s">
        <v>37</v>
      </c>
      <c r="C594" s="16">
        <v>42891.50503472222</v>
      </c>
      <c r="D594" s="17" t="s">
        <v>5</v>
      </c>
      <c r="E594" s="17" t="s">
        <v>36</v>
      </c>
      <c r="F594" s="16">
        <v>42891.534548611111</v>
      </c>
      <c r="G594" s="16"/>
      <c r="H594" s="16"/>
      <c r="I594" s="11">
        <v>594</v>
      </c>
    </row>
    <row r="595" spans="1:9" x14ac:dyDescent="0.2">
      <c r="A595" s="17" t="s">
        <v>109</v>
      </c>
      <c r="B595" s="17" t="s">
        <v>37</v>
      </c>
      <c r="C595" s="16">
        <v>42891.50503472222</v>
      </c>
      <c r="D595" s="17" t="s">
        <v>6</v>
      </c>
      <c r="E595" s="17" t="s">
        <v>60</v>
      </c>
      <c r="F595" s="16">
        <v>42891.534548611111</v>
      </c>
      <c r="G595" s="16"/>
      <c r="H595" s="16"/>
      <c r="I595" s="11">
        <v>595</v>
      </c>
    </row>
    <row r="596" spans="1:9" x14ac:dyDescent="0.2">
      <c r="A596" s="17" t="s">
        <v>109</v>
      </c>
      <c r="B596" s="17" t="s">
        <v>37</v>
      </c>
      <c r="C596" s="16">
        <v>42891.50503472222</v>
      </c>
      <c r="D596" s="17" t="s">
        <v>5</v>
      </c>
      <c r="E596" s="17" t="s">
        <v>46</v>
      </c>
      <c r="F596" s="16">
        <v>42891.554837962962</v>
      </c>
      <c r="G596" s="16"/>
      <c r="H596" s="16"/>
      <c r="I596" s="11">
        <v>596</v>
      </c>
    </row>
    <row r="597" spans="1:9" x14ac:dyDescent="0.2">
      <c r="A597" s="17" t="s">
        <v>109</v>
      </c>
      <c r="B597" s="17" t="s">
        <v>37</v>
      </c>
      <c r="C597" s="16">
        <v>42891.50503472222</v>
      </c>
      <c r="D597" s="17" t="s">
        <v>6</v>
      </c>
      <c r="E597" s="17" t="s">
        <v>44</v>
      </c>
      <c r="F597" s="16">
        <v>42891.572048611109</v>
      </c>
      <c r="G597" s="16"/>
      <c r="H597" s="16"/>
      <c r="I597" s="11">
        <v>597</v>
      </c>
    </row>
    <row r="598" spans="1:9" x14ac:dyDescent="0.2">
      <c r="A598" s="17" t="s">
        <v>108</v>
      </c>
      <c r="B598" s="17" t="s">
        <v>37</v>
      </c>
      <c r="C598" s="16">
        <v>42891.516655092593</v>
      </c>
      <c r="D598" s="17" t="s">
        <v>5</v>
      </c>
      <c r="E598" s="17" t="s">
        <v>40</v>
      </c>
      <c r="F598" s="16">
        <v>42891.51666666667</v>
      </c>
      <c r="G598" s="16"/>
      <c r="H598" s="16"/>
      <c r="I598" s="11">
        <v>598</v>
      </c>
    </row>
    <row r="599" spans="1:9" x14ac:dyDescent="0.2">
      <c r="A599" s="17" t="s">
        <v>108</v>
      </c>
      <c r="B599" s="17" t="s">
        <v>37</v>
      </c>
      <c r="C599" s="16">
        <v>42891.516655092593</v>
      </c>
      <c r="D599" s="17" t="s">
        <v>5</v>
      </c>
      <c r="E599" s="17" t="s">
        <v>36</v>
      </c>
      <c r="F599" s="16">
        <v>42891.518148148149</v>
      </c>
      <c r="G599" s="16"/>
      <c r="H599" s="16"/>
      <c r="I599" s="11">
        <v>599</v>
      </c>
    </row>
    <row r="600" spans="1:9" x14ac:dyDescent="0.2">
      <c r="A600" s="17" t="s">
        <v>108</v>
      </c>
      <c r="B600" s="17" t="s">
        <v>37</v>
      </c>
      <c r="C600" s="16">
        <v>42891.516655092593</v>
      </c>
      <c r="D600" s="17" t="s">
        <v>6</v>
      </c>
      <c r="E600" s="17" t="s">
        <v>47</v>
      </c>
      <c r="F600" s="16">
        <v>42891.540925925925</v>
      </c>
      <c r="G600" s="16"/>
      <c r="H600" s="16"/>
      <c r="I600" s="11">
        <v>600</v>
      </c>
    </row>
    <row r="601" spans="1:9" x14ac:dyDescent="0.2">
      <c r="A601" s="17" t="s">
        <v>108</v>
      </c>
      <c r="B601" s="17" t="s">
        <v>37</v>
      </c>
      <c r="C601" s="16">
        <v>42891.516655092593</v>
      </c>
      <c r="D601" s="17" t="s">
        <v>5</v>
      </c>
      <c r="E601" s="17" t="s">
        <v>46</v>
      </c>
      <c r="F601" s="16">
        <v>42891.54115740741</v>
      </c>
      <c r="G601" s="16"/>
      <c r="H601" s="16"/>
      <c r="I601" s="11">
        <v>601</v>
      </c>
    </row>
    <row r="602" spans="1:9" x14ac:dyDescent="0.2">
      <c r="A602" s="17" t="s">
        <v>108</v>
      </c>
      <c r="B602" s="17" t="s">
        <v>37</v>
      </c>
      <c r="C602" s="16">
        <v>42891.516655092593</v>
      </c>
      <c r="D602" s="17" t="s">
        <v>6</v>
      </c>
      <c r="E602" s="17" t="s">
        <v>107</v>
      </c>
      <c r="F602" s="16">
        <v>42891.543425925927</v>
      </c>
      <c r="G602" s="16"/>
      <c r="H602" s="16"/>
      <c r="I602" s="11">
        <v>602</v>
      </c>
    </row>
    <row r="603" spans="1:9" x14ac:dyDescent="0.2">
      <c r="A603" s="17" t="s">
        <v>106</v>
      </c>
      <c r="B603" s="17" t="s">
        <v>37</v>
      </c>
      <c r="C603" s="16">
        <v>42891.582997685182</v>
      </c>
      <c r="D603" s="17" t="s">
        <v>5</v>
      </c>
      <c r="E603" s="17" t="s">
        <v>40</v>
      </c>
      <c r="F603" s="16">
        <v>42891.583090277774</v>
      </c>
      <c r="G603" s="16"/>
      <c r="H603" s="16"/>
      <c r="I603" s="11">
        <v>603</v>
      </c>
    </row>
    <row r="604" spans="1:9" x14ac:dyDescent="0.2">
      <c r="A604" s="17" t="s">
        <v>106</v>
      </c>
      <c r="B604" s="17" t="s">
        <v>37</v>
      </c>
      <c r="C604" s="16">
        <v>42891.582997685182</v>
      </c>
      <c r="D604" s="17" t="s">
        <v>5</v>
      </c>
      <c r="E604" s="17" t="s">
        <v>36</v>
      </c>
      <c r="F604" s="16">
        <v>42891.600902777776</v>
      </c>
      <c r="G604" s="16"/>
      <c r="H604" s="16"/>
      <c r="I604" s="11">
        <v>604</v>
      </c>
    </row>
    <row r="605" spans="1:9" x14ac:dyDescent="0.2">
      <c r="A605" s="17" t="s">
        <v>106</v>
      </c>
      <c r="B605" s="17" t="s">
        <v>37</v>
      </c>
      <c r="C605" s="16">
        <v>42891.582997685182</v>
      </c>
      <c r="D605" s="17" t="s">
        <v>6</v>
      </c>
      <c r="E605" s="17" t="s">
        <v>60</v>
      </c>
      <c r="F605" s="16">
        <v>42891.600902777776</v>
      </c>
      <c r="G605" s="16"/>
      <c r="H605" s="16"/>
      <c r="I605" s="11">
        <v>605</v>
      </c>
    </row>
    <row r="606" spans="1:9" x14ac:dyDescent="0.2">
      <c r="A606" s="17" t="s">
        <v>105</v>
      </c>
      <c r="B606" s="17" t="s">
        <v>37</v>
      </c>
      <c r="C606" s="16">
        <v>42891.645914351851</v>
      </c>
      <c r="D606" s="17" t="s">
        <v>5</v>
      </c>
      <c r="E606" s="17" t="s">
        <v>40</v>
      </c>
      <c r="F606" s="16">
        <v>42891.645949074074</v>
      </c>
      <c r="G606" s="16"/>
      <c r="H606" s="16"/>
      <c r="I606" s="11">
        <v>606</v>
      </c>
    </row>
    <row r="607" spans="1:9" x14ac:dyDescent="0.2">
      <c r="A607" s="17" t="s">
        <v>105</v>
      </c>
      <c r="B607" s="17" t="s">
        <v>37</v>
      </c>
      <c r="C607" s="16">
        <v>42891.645914351851</v>
      </c>
      <c r="D607" s="17" t="s">
        <v>5</v>
      </c>
      <c r="E607" s="17" t="s">
        <v>36</v>
      </c>
      <c r="F607" s="16">
        <v>42891.646886574075</v>
      </c>
      <c r="G607" s="16"/>
      <c r="H607" s="16"/>
      <c r="I607" s="11">
        <v>607</v>
      </c>
    </row>
    <row r="608" spans="1:9" x14ac:dyDescent="0.2">
      <c r="A608" s="17" t="s">
        <v>105</v>
      </c>
      <c r="B608" s="17" t="s">
        <v>37</v>
      </c>
      <c r="C608" s="16">
        <v>42891.645914351851</v>
      </c>
      <c r="D608" s="17" t="s">
        <v>6</v>
      </c>
      <c r="E608" s="17" t="s">
        <v>39</v>
      </c>
      <c r="F608" s="16">
        <v>42891.807013888887</v>
      </c>
      <c r="G608" s="16"/>
      <c r="H608" s="16"/>
      <c r="I608" s="11">
        <v>608</v>
      </c>
    </row>
    <row r="609" spans="1:9" x14ac:dyDescent="0.2">
      <c r="A609" s="17" t="s">
        <v>105</v>
      </c>
      <c r="B609" s="17" t="s">
        <v>37</v>
      </c>
      <c r="C609" s="16">
        <v>42891.645914351851</v>
      </c>
      <c r="D609" s="17" t="s">
        <v>5</v>
      </c>
      <c r="E609" s="17" t="s">
        <v>41</v>
      </c>
      <c r="F609" s="16">
        <v>42892.443807870368</v>
      </c>
      <c r="G609" s="16"/>
      <c r="H609" s="16"/>
      <c r="I609" s="11">
        <v>609</v>
      </c>
    </row>
    <row r="610" spans="1:9" x14ac:dyDescent="0.2">
      <c r="A610" s="17" t="s">
        <v>105</v>
      </c>
      <c r="B610" s="17" t="s">
        <v>37</v>
      </c>
      <c r="C610" s="16">
        <v>42891.645914351851</v>
      </c>
      <c r="D610" s="17" t="s">
        <v>6</v>
      </c>
      <c r="E610" s="17" t="s">
        <v>61</v>
      </c>
      <c r="F610" s="16">
        <v>42892.685925925929</v>
      </c>
      <c r="G610" s="16"/>
      <c r="H610" s="16"/>
      <c r="I610" s="11">
        <v>610</v>
      </c>
    </row>
    <row r="611" spans="1:9" x14ac:dyDescent="0.2">
      <c r="A611" s="17" t="s">
        <v>104</v>
      </c>
      <c r="B611" s="17" t="s">
        <v>37</v>
      </c>
      <c r="C611" s="16">
        <v>42891.673437500001</v>
      </c>
      <c r="D611" s="17" t="s">
        <v>5</v>
      </c>
      <c r="E611" s="17" t="s">
        <v>40</v>
      </c>
      <c r="F611" s="16">
        <v>42891.673460648148</v>
      </c>
      <c r="G611" s="16"/>
      <c r="H611" s="16"/>
      <c r="I611" s="11">
        <v>611</v>
      </c>
    </row>
    <row r="612" spans="1:9" x14ac:dyDescent="0.2">
      <c r="A612" s="17" t="s">
        <v>104</v>
      </c>
      <c r="B612" s="17" t="s">
        <v>37</v>
      </c>
      <c r="C612" s="16">
        <v>42891.673437500001</v>
      </c>
      <c r="D612" s="17" t="s">
        <v>5</v>
      </c>
      <c r="E612" s="17" t="s">
        <v>36</v>
      </c>
      <c r="F612" s="16">
        <v>42891.684814814813</v>
      </c>
      <c r="G612" s="16"/>
      <c r="H612" s="16"/>
      <c r="I612" s="11">
        <v>612</v>
      </c>
    </row>
    <row r="613" spans="1:9" x14ac:dyDescent="0.2">
      <c r="A613" s="17" t="s">
        <v>104</v>
      </c>
      <c r="B613" s="17" t="s">
        <v>37</v>
      </c>
      <c r="C613" s="16">
        <v>42891.673437500001</v>
      </c>
      <c r="D613" s="17" t="s">
        <v>6</v>
      </c>
      <c r="E613" s="17" t="s">
        <v>56</v>
      </c>
      <c r="F613" s="16">
        <v>42891.684814814813</v>
      </c>
      <c r="G613" s="16"/>
      <c r="H613" s="16"/>
      <c r="I613" s="11">
        <v>613</v>
      </c>
    </row>
    <row r="614" spans="1:9" x14ac:dyDescent="0.2">
      <c r="A614" s="17" t="s">
        <v>103</v>
      </c>
      <c r="B614" s="17" t="s">
        <v>37</v>
      </c>
      <c r="C614" s="16">
        <v>42891.69189814815</v>
      </c>
      <c r="D614" s="17" t="s">
        <v>5</v>
      </c>
      <c r="E614" s="17" t="s">
        <v>40</v>
      </c>
      <c r="F614" s="16">
        <v>42891.692002314812</v>
      </c>
      <c r="G614" s="16"/>
      <c r="H614" s="16"/>
      <c r="I614" s="11">
        <v>614</v>
      </c>
    </row>
    <row r="615" spans="1:9" x14ac:dyDescent="0.2">
      <c r="A615" s="17" t="s">
        <v>103</v>
      </c>
      <c r="B615" s="17" t="s">
        <v>37</v>
      </c>
      <c r="C615" s="16">
        <v>42891.69189814815</v>
      </c>
      <c r="D615" s="17" t="s">
        <v>5</v>
      </c>
      <c r="E615" s="17" t="s">
        <v>41</v>
      </c>
      <c r="F615" s="16">
        <v>42891.695405092592</v>
      </c>
      <c r="G615" s="16"/>
      <c r="H615" s="16"/>
      <c r="I615" s="11">
        <v>615</v>
      </c>
    </row>
    <row r="616" spans="1:9" x14ac:dyDescent="0.2">
      <c r="A616" s="17" t="s">
        <v>103</v>
      </c>
      <c r="B616" s="17" t="s">
        <v>37</v>
      </c>
      <c r="C616" s="16">
        <v>42891.69189814815</v>
      </c>
      <c r="D616" s="17" t="s">
        <v>6</v>
      </c>
      <c r="E616" s="17" t="s">
        <v>61</v>
      </c>
      <c r="F616" s="16">
        <v>42892.692812499998</v>
      </c>
      <c r="G616" s="16"/>
      <c r="H616" s="16"/>
      <c r="I616" s="11">
        <v>616</v>
      </c>
    </row>
    <row r="617" spans="1:9" x14ac:dyDescent="0.2">
      <c r="A617" s="17" t="s">
        <v>102</v>
      </c>
      <c r="B617" s="17" t="s">
        <v>37</v>
      </c>
      <c r="C617" s="16">
        <v>42892.311296296299</v>
      </c>
      <c r="D617" s="17" t="s">
        <v>5</v>
      </c>
      <c r="E617" s="17" t="s">
        <v>40</v>
      </c>
      <c r="F617" s="16">
        <v>42892.311354166668</v>
      </c>
      <c r="G617" s="16"/>
      <c r="H617" s="16"/>
      <c r="I617" s="11">
        <v>617</v>
      </c>
    </row>
    <row r="618" spans="1:9" x14ac:dyDescent="0.2">
      <c r="A618" s="17" t="s">
        <v>102</v>
      </c>
      <c r="B618" s="17" t="s">
        <v>37</v>
      </c>
      <c r="C618" s="16">
        <v>42892.311296296299</v>
      </c>
      <c r="D618" s="17" t="s">
        <v>5</v>
      </c>
      <c r="E618" s="17" t="s">
        <v>36</v>
      </c>
      <c r="F618" s="16">
        <v>42892.312534722223</v>
      </c>
      <c r="G618" s="16"/>
      <c r="H618" s="16"/>
      <c r="I618" s="11">
        <v>618</v>
      </c>
    </row>
    <row r="619" spans="1:9" x14ac:dyDescent="0.2">
      <c r="A619" s="17" t="s">
        <v>102</v>
      </c>
      <c r="B619" s="17" t="s">
        <v>37</v>
      </c>
      <c r="C619" s="16">
        <v>42892.311296296299</v>
      </c>
      <c r="D619" s="17" t="s">
        <v>6</v>
      </c>
      <c r="E619" s="17" t="s">
        <v>64</v>
      </c>
      <c r="F619" s="16">
        <v>42892.385937500003</v>
      </c>
      <c r="G619" s="16"/>
      <c r="H619" s="16"/>
      <c r="I619" s="11">
        <v>619</v>
      </c>
    </row>
    <row r="620" spans="1:9" x14ac:dyDescent="0.2">
      <c r="A620" s="17" t="s">
        <v>100</v>
      </c>
      <c r="B620" s="17" t="s">
        <v>37</v>
      </c>
      <c r="C620" s="16">
        <v>42892.370578703703</v>
      </c>
      <c r="D620" s="17" t="s">
        <v>5</v>
      </c>
      <c r="E620" s="17" t="s">
        <v>40</v>
      </c>
      <c r="F620" s="16">
        <v>42892.370613425926</v>
      </c>
      <c r="G620" s="16"/>
      <c r="H620" s="16"/>
      <c r="I620" s="11">
        <v>620</v>
      </c>
    </row>
    <row r="621" spans="1:9" x14ac:dyDescent="0.2">
      <c r="A621" s="17" t="s">
        <v>100</v>
      </c>
      <c r="B621" s="17" t="s">
        <v>37</v>
      </c>
      <c r="C621" s="16">
        <v>42892.370578703703</v>
      </c>
      <c r="D621" s="17" t="s">
        <v>5</v>
      </c>
      <c r="E621" s="17" t="s">
        <v>57</v>
      </c>
      <c r="F621" s="16">
        <v>42892.371759259258</v>
      </c>
      <c r="G621" s="16"/>
      <c r="H621" s="16"/>
      <c r="I621" s="11">
        <v>621</v>
      </c>
    </row>
    <row r="622" spans="1:9" x14ac:dyDescent="0.2">
      <c r="A622" s="17" t="s">
        <v>100</v>
      </c>
      <c r="B622" s="17" t="s">
        <v>37</v>
      </c>
      <c r="C622" s="16">
        <v>42892.370578703703</v>
      </c>
      <c r="D622" s="17" t="s">
        <v>5</v>
      </c>
      <c r="E622" s="17" t="s">
        <v>99</v>
      </c>
      <c r="F622" s="16">
        <v>42892.512719907405</v>
      </c>
      <c r="G622" s="16"/>
      <c r="H622" s="16"/>
      <c r="I622" s="11">
        <v>622</v>
      </c>
    </row>
    <row r="623" spans="1:9" x14ac:dyDescent="0.2">
      <c r="A623" s="17" t="s">
        <v>100</v>
      </c>
      <c r="B623" s="17" t="s">
        <v>37</v>
      </c>
      <c r="C623" s="16">
        <v>42892.370578703703</v>
      </c>
      <c r="D623" s="17" t="s">
        <v>6</v>
      </c>
      <c r="E623" s="17" t="s">
        <v>101</v>
      </c>
      <c r="F623" s="16">
        <v>42892.512719907405</v>
      </c>
      <c r="G623" s="16"/>
      <c r="H623" s="16"/>
      <c r="I623" s="11">
        <v>623</v>
      </c>
    </row>
    <row r="624" spans="1:9" x14ac:dyDescent="0.2">
      <c r="A624" s="17" t="s">
        <v>98</v>
      </c>
      <c r="B624" s="17" t="s">
        <v>37</v>
      </c>
      <c r="C624" s="16">
        <v>42892.461145833331</v>
      </c>
      <c r="D624" s="17" t="s">
        <v>5</v>
      </c>
      <c r="E624" s="17" t="s">
        <v>40</v>
      </c>
      <c r="F624" s="16">
        <v>42892.461215277777</v>
      </c>
      <c r="G624" s="16"/>
      <c r="H624" s="16"/>
      <c r="I624" s="11">
        <v>624</v>
      </c>
    </row>
    <row r="625" spans="1:9" x14ac:dyDescent="0.2">
      <c r="A625" s="17" t="s">
        <v>98</v>
      </c>
      <c r="B625" s="17" t="s">
        <v>37</v>
      </c>
      <c r="C625" s="16">
        <v>42892.461145833331</v>
      </c>
      <c r="D625" s="17" t="s">
        <v>5</v>
      </c>
      <c r="E625" s="17" t="s">
        <v>36</v>
      </c>
      <c r="F625" s="16">
        <v>42892.471412037034</v>
      </c>
      <c r="G625" s="16"/>
      <c r="H625" s="16"/>
      <c r="I625" s="11">
        <v>625</v>
      </c>
    </row>
    <row r="626" spans="1:9" x14ac:dyDescent="0.2">
      <c r="A626" s="17" t="s">
        <v>98</v>
      </c>
      <c r="B626" s="17" t="s">
        <v>37</v>
      </c>
      <c r="C626" s="16">
        <v>42892.461145833331</v>
      </c>
      <c r="D626" s="17" t="s">
        <v>6</v>
      </c>
      <c r="E626" s="17" t="s">
        <v>60</v>
      </c>
      <c r="F626" s="16">
        <v>42892.471412037034</v>
      </c>
      <c r="G626" s="16"/>
      <c r="H626" s="16"/>
      <c r="I626" s="11">
        <v>626</v>
      </c>
    </row>
    <row r="627" spans="1:9" x14ac:dyDescent="0.2">
      <c r="A627" s="17" t="s">
        <v>97</v>
      </c>
      <c r="B627" s="17" t="s">
        <v>37</v>
      </c>
      <c r="C627" s="16">
        <v>42892.549131944441</v>
      </c>
      <c r="D627" s="17" t="s">
        <v>5</v>
      </c>
      <c r="E627" s="17" t="s">
        <v>40</v>
      </c>
      <c r="F627" s="16">
        <v>42892.549247685187</v>
      </c>
      <c r="G627" s="16"/>
      <c r="H627" s="16"/>
      <c r="I627" s="11">
        <v>627</v>
      </c>
    </row>
    <row r="628" spans="1:9" x14ac:dyDescent="0.2">
      <c r="A628" s="17" t="s">
        <v>97</v>
      </c>
      <c r="B628" s="17" t="s">
        <v>37</v>
      </c>
      <c r="C628" s="16">
        <v>42892.549131944441</v>
      </c>
      <c r="D628" s="17" t="s">
        <v>5</v>
      </c>
      <c r="E628" s="17" t="s">
        <v>36</v>
      </c>
      <c r="F628" s="16">
        <v>42892.571157407408</v>
      </c>
      <c r="G628" s="16"/>
      <c r="H628" s="16"/>
      <c r="I628" s="11">
        <v>628</v>
      </c>
    </row>
    <row r="629" spans="1:9" x14ac:dyDescent="0.2">
      <c r="A629" s="17" t="s">
        <v>97</v>
      </c>
      <c r="B629" s="17" t="s">
        <v>37</v>
      </c>
      <c r="C629" s="16">
        <v>42892.549131944441</v>
      </c>
      <c r="D629" s="17" t="s">
        <v>6</v>
      </c>
      <c r="E629" s="17" t="s">
        <v>86</v>
      </c>
      <c r="F629" s="16">
        <v>42892.571157407408</v>
      </c>
      <c r="G629" s="16"/>
      <c r="H629" s="16"/>
      <c r="I629" s="11">
        <v>629</v>
      </c>
    </row>
    <row r="630" spans="1:9" x14ac:dyDescent="0.2">
      <c r="A630" s="17" t="s">
        <v>96</v>
      </c>
      <c r="B630" s="17" t="s">
        <v>37</v>
      </c>
      <c r="C630" s="16">
        <v>42892.550891203704</v>
      </c>
      <c r="D630" s="17" t="s">
        <v>5</v>
      </c>
      <c r="E630" s="17" t="s">
        <v>40</v>
      </c>
      <c r="F630" s="16">
        <v>42892.550995370373</v>
      </c>
      <c r="G630" s="16"/>
      <c r="H630" s="16"/>
      <c r="I630" s="11">
        <v>630</v>
      </c>
    </row>
    <row r="631" spans="1:9" x14ac:dyDescent="0.2">
      <c r="A631" s="17" t="s">
        <v>96</v>
      </c>
      <c r="B631" s="17" t="s">
        <v>37</v>
      </c>
      <c r="C631" s="16">
        <v>42892.550891203704</v>
      </c>
      <c r="D631" s="17" t="s">
        <v>5</v>
      </c>
      <c r="E631" s="17" t="s">
        <v>46</v>
      </c>
      <c r="F631" s="16">
        <v>42892.554259259261</v>
      </c>
      <c r="G631" s="16"/>
      <c r="H631" s="16"/>
      <c r="I631" s="11">
        <v>631</v>
      </c>
    </row>
    <row r="632" spans="1:9" x14ac:dyDescent="0.2">
      <c r="A632" s="17" t="s">
        <v>96</v>
      </c>
      <c r="B632" s="17" t="s">
        <v>37</v>
      </c>
      <c r="C632" s="16">
        <v>42892.550891203704</v>
      </c>
      <c r="D632" s="17" t="s">
        <v>6</v>
      </c>
      <c r="E632" s="17" t="s">
        <v>44</v>
      </c>
      <c r="F632" s="16">
        <v>42892.555937500001</v>
      </c>
      <c r="G632" s="16"/>
      <c r="H632" s="16"/>
      <c r="I632" s="11">
        <v>632</v>
      </c>
    </row>
    <row r="633" spans="1:9" x14ac:dyDescent="0.2">
      <c r="A633" s="17" t="s">
        <v>95</v>
      </c>
      <c r="B633" s="17" t="s">
        <v>37</v>
      </c>
      <c r="C633" s="16">
        <v>42892.603564814817</v>
      </c>
      <c r="D633" s="17" t="s">
        <v>5</v>
      </c>
      <c r="E633" s="17" t="s">
        <v>40</v>
      </c>
      <c r="F633" s="16">
        <v>42892.603576388887</v>
      </c>
      <c r="G633" s="16"/>
      <c r="H633" s="16"/>
      <c r="I633" s="11">
        <v>633</v>
      </c>
    </row>
    <row r="634" spans="1:9" x14ac:dyDescent="0.2">
      <c r="A634" s="17" t="s">
        <v>95</v>
      </c>
      <c r="B634" s="17" t="s">
        <v>37</v>
      </c>
      <c r="C634" s="16">
        <v>42892.603564814817</v>
      </c>
      <c r="D634" s="17" t="s">
        <v>5</v>
      </c>
      <c r="E634" s="17" t="s">
        <v>36</v>
      </c>
      <c r="F634" s="16">
        <v>42892.609791666669</v>
      </c>
      <c r="G634" s="16"/>
      <c r="H634" s="16"/>
      <c r="I634" s="11">
        <v>634</v>
      </c>
    </row>
    <row r="635" spans="1:9" x14ac:dyDescent="0.2">
      <c r="A635" s="17" t="s">
        <v>95</v>
      </c>
      <c r="B635" s="17" t="s">
        <v>37</v>
      </c>
      <c r="C635" s="16">
        <v>42892.603564814817</v>
      </c>
      <c r="D635" s="17" t="s">
        <v>6</v>
      </c>
      <c r="E635" s="17" t="s">
        <v>60</v>
      </c>
      <c r="F635" s="16">
        <v>42892.609791666669</v>
      </c>
      <c r="G635" s="16"/>
      <c r="H635" s="16"/>
      <c r="I635" s="11">
        <v>635</v>
      </c>
    </row>
    <row r="636" spans="1:9" x14ac:dyDescent="0.2">
      <c r="A636" s="17" t="s">
        <v>94</v>
      </c>
      <c r="B636" s="17" t="s">
        <v>37</v>
      </c>
      <c r="C636" s="16">
        <v>42893.352280092593</v>
      </c>
      <c r="D636" s="17" t="s">
        <v>5</v>
      </c>
      <c r="E636" s="17" t="s">
        <v>40</v>
      </c>
      <c r="F636" s="16">
        <v>42893.352314814816</v>
      </c>
      <c r="G636" s="16"/>
      <c r="H636" s="16"/>
      <c r="I636" s="11">
        <v>636</v>
      </c>
    </row>
    <row r="637" spans="1:9" x14ac:dyDescent="0.2">
      <c r="A637" s="17" t="s">
        <v>94</v>
      </c>
      <c r="B637" s="17" t="s">
        <v>37</v>
      </c>
      <c r="C637" s="16">
        <v>42893.352280092593</v>
      </c>
      <c r="D637" s="17" t="s">
        <v>5</v>
      </c>
      <c r="E637" s="17" t="s">
        <v>36</v>
      </c>
      <c r="F637" s="16">
        <v>42893.353125000001</v>
      </c>
      <c r="G637" s="16"/>
      <c r="H637" s="16"/>
      <c r="I637" s="11">
        <v>637</v>
      </c>
    </row>
    <row r="638" spans="1:9" x14ac:dyDescent="0.2">
      <c r="A638" s="17" t="s">
        <v>94</v>
      </c>
      <c r="B638" s="17" t="s">
        <v>37</v>
      </c>
      <c r="C638" s="16">
        <v>42893.352280092593</v>
      </c>
      <c r="D638" s="17" t="s">
        <v>6</v>
      </c>
      <c r="E638" s="17" t="s">
        <v>60</v>
      </c>
      <c r="F638" s="16">
        <v>42893.461238425924</v>
      </c>
      <c r="G638" s="16"/>
      <c r="H638" s="16"/>
      <c r="I638" s="11">
        <v>638</v>
      </c>
    </row>
    <row r="639" spans="1:9" x14ac:dyDescent="0.2">
      <c r="A639" s="17" t="s">
        <v>94</v>
      </c>
      <c r="B639" s="17" t="s">
        <v>37</v>
      </c>
      <c r="C639" s="16">
        <v>42893.352280092593</v>
      </c>
      <c r="D639" s="17" t="s">
        <v>5</v>
      </c>
      <c r="E639" s="17" t="s">
        <v>57</v>
      </c>
      <c r="F639" s="16">
        <v>42893.462638888886</v>
      </c>
      <c r="G639" s="16"/>
      <c r="H639" s="16"/>
      <c r="I639" s="11">
        <v>639</v>
      </c>
    </row>
    <row r="640" spans="1:9" x14ac:dyDescent="0.2">
      <c r="A640" s="17" t="s">
        <v>93</v>
      </c>
      <c r="B640" s="17" t="s">
        <v>37</v>
      </c>
      <c r="C640" s="16">
        <v>42893.357627314814</v>
      </c>
      <c r="D640" s="17" t="s">
        <v>5</v>
      </c>
      <c r="E640" s="17" t="s">
        <v>40</v>
      </c>
      <c r="F640" s="16">
        <v>42893.357685185183</v>
      </c>
      <c r="G640" s="16"/>
      <c r="H640" s="16"/>
      <c r="I640" s="11">
        <v>640</v>
      </c>
    </row>
    <row r="641" spans="1:9" x14ac:dyDescent="0.2">
      <c r="A641" s="17" t="s">
        <v>93</v>
      </c>
      <c r="B641" s="17" t="s">
        <v>37</v>
      </c>
      <c r="C641" s="16">
        <v>42893.357627314814</v>
      </c>
      <c r="D641" s="17" t="s">
        <v>5</v>
      </c>
      <c r="E641" s="17" t="s">
        <v>46</v>
      </c>
      <c r="F641" s="16">
        <v>42893.360891203702</v>
      </c>
      <c r="G641" s="16"/>
      <c r="H641" s="16"/>
      <c r="I641" s="11">
        <v>641</v>
      </c>
    </row>
    <row r="642" spans="1:9" x14ac:dyDescent="0.2">
      <c r="A642" s="17" t="s">
        <v>93</v>
      </c>
      <c r="B642" s="17" t="s">
        <v>37</v>
      </c>
      <c r="C642" s="16">
        <v>42893.357627314814</v>
      </c>
      <c r="D642" s="17" t="s">
        <v>6</v>
      </c>
      <c r="E642" s="17" t="s">
        <v>82</v>
      </c>
      <c r="F642" s="16">
        <v>42893.439467592594</v>
      </c>
      <c r="G642" s="16"/>
      <c r="H642" s="16"/>
      <c r="I642" s="11">
        <v>642</v>
      </c>
    </row>
    <row r="643" spans="1:9" x14ac:dyDescent="0.2">
      <c r="A643" s="17" t="s">
        <v>91</v>
      </c>
      <c r="B643" s="17" t="s">
        <v>37</v>
      </c>
      <c r="C643" s="16">
        <v>42893.422708333332</v>
      </c>
      <c r="D643" s="17" t="s">
        <v>5</v>
      </c>
      <c r="E643" s="17" t="s">
        <v>40</v>
      </c>
      <c r="F643" s="16">
        <v>42893.422731481478</v>
      </c>
      <c r="G643" s="16"/>
      <c r="H643" s="16"/>
      <c r="I643" s="11">
        <v>643</v>
      </c>
    </row>
    <row r="644" spans="1:9" x14ac:dyDescent="0.2">
      <c r="A644" s="17" t="s">
        <v>91</v>
      </c>
      <c r="B644" s="17" t="s">
        <v>37</v>
      </c>
      <c r="C644" s="16">
        <v>42893.422708333332</v>
      </c>
      <c r="D644" s="17" t="s">
        <v>5</v>
      </c>
      <c r="E644" s="17" t="s">
        <v>36</v>
      </c>
      <c r="F644" s="16">
        <v>42893.42628472222</v>
      </c>
      <c r="G644" s="16"/>
      <c r="H644" s="16"/>
      <c r="I644" s="11">
        <v>644</v>
      </c>
    </row>
    <row r="645" spans="1:9" x14ac:dyDescent="0.2">
      <c r="A645" s="17" t="s">
        <v>91</v>
      </c>
      <c r="B645" s="17" t="s">
        <v>37</v>
      </c>
      <c r="C645" s="16">
        <v>42893.422708333332</v>
      </c>
      <c r="D645" s="17" t="s">
        <v>6</v>
      </c>
      <c r="E645" s="17" t="s">
        <v>92</v>
      </c>
      <c r="F645" s="16">
        <v>42893.42628472222</v>
      </c>
      <c r="G645" s="16"/>
      <c r="H645" s="16"/>
      <c r="I645" s="11">
        <v>645</v>
      </c>
    </row>
    <row r="646" spans="1:9" x14ac:dyDescent="0.2">
      <c r="A646" s="17" t="s">
        <v>91</v>
      </c>
      <c r="B646" s="17" t="s">
        <v>37</v>
      </c>
      <c r="C646" s="16">
        <v>42893.422708333332</v>
      </c>
      <c r="D646" s="17" t="s">
        <v>5</v>
      </c>
      <c r="E646" s="17" t="s">
        <v>46</v>
      </c>
      <c r="F646" s="16">
        <v>42893.429513888892</v>
      </c>
      <c r="G646" s="16"/>
      <c r="H646" s="16"/>
      <c r="I646" s="11">
        <v>646</v>
      </c>
    </row>
    <row r="647" spans="1:9" x14ac:dyDescent="0.2">
      <c r="A647" s="17" t="s">
        <v>91</v>
      </c>
      <c r="B647" s="17" t="s">
        <v>37</v>
      </c>
      <c r="C647" s="16">
        <v>42893.422708333332</v>
      </c>
      <c r="D647" s="17" t="s">
        <v>6</v>
      </c>
      <c r="E647" s="17" t="s">
        <v>82</v>
      </c>
      <c r="F647" s="16">
        <v>42893.435543981483</v>
      </c>
      <c r="G647" s="16"/>
      <c r="H647" s="16"/>
      <c r="I647" s="11">
        <v>647</v>
      </c>
    </row>
    <row r="648" spans="1:9" x14ac:dyDescent="0.2">
      <c r="A648" s="17" t="s">
        <v>88</v>
      </c>
      <c r="B648" s="17" t="s">
        <v>37</v>
      </c>
      <c r="C648" s="16">
        <v>42893.428206018521</v>
      </c>
      <c r="D648" s="17" t="s">
        <v>5</v>
      </c>
      <c r="E648" s="17" t="s">
        <v>40</v>
      </c>
      <c r="F648" s="16">
        <v>42893.428229166668</v>
      </c>
      <c r="G648" s="16"/>
      <c r="H648" s="16"/>
      <c r="I648" s="11">
        <v>648</v>
      </c>
    </row>
    <row r="649" spans="1:9" x14ac:dyDescent="0.2">
      <c r="A649" s="17" t="s">
        <v>88</v>
      </c>
      <c r="B649" s="17" t="s">
        <v>37</v>
      </c>
      <c r="C649" s="16">
        <v>42893.428206018521</v>
      </c>
      <c r="D649" s="17" t="s">
        <v>5</v>
      </c>
      <c r="E649" s="17" t="s">
        <v>90</v>
      </c>
      <c r="F649" s="16">
        <v>42893.429976851854</v>
      </c>
      <c r="G649" s="16"/>
      <c r="H649" s="16"/>
      <c r="I649" s="11">
        <v>649</v>
      </c>
    </row>
    <row r="650" spans="1:9" x14ac:dyDescent="0.2">
      <c r="A650" s="17" t="s">
        <v>88</v>
      </c>
      <c r="B650" s="17" t="s">
        <v>37</v>
      </c>
      <c r="C650" s="16">
        <v>42893.428206018521</v>
      </c>
      <c r="D650" s="17" t="s">
        <v>6</v>
      </c>
      <c r="E650" s="17" t="s">
        <v>89</v>
      </c>
      <c r="F650" s="16">
        <v>42893.444895833331</v>
      </c>
      <c r="G650" s="16"/>
      <c r="H650" s="16"/>
      <c r="I650" s="11">
        <v>650</v>
      </c>
    </row>
    <row r="651" spans="1:9" x14ac:dyDescent="0.2">
      <c r="A651" s="17" t="s">
        <v>88</v>
      </c>
      <c r="B651" s="17" t="s">
        <v>37</v>
      </c>
      <c r="C651" s="16">
        <v>42893.428206018521</v>
      </c>
      <c r="D651" s="17" t="s">
        <v>5</v>
      </c>
      <c r="E651" s="17" t="s">
        <v>57</v>
      </c>
      <c r="F651" s="16">
        <v>42893.551087962966</v>
      </c>
      <c r="G651" s="16"/>
      <c r="H651" s="16"/>
      <c r="I651" s="11">
        <v>651</v>
      </c>
    </row>
    <row r="652" spans="1:9" x14ac:dyDescent="0.2">
      <c r="A652" s="17" t="s">
        <v>87</v>
      </c>
      <c r="B652" s="17" t="s">
        <v>37</v>
      </c>
      <c r="C652" s="16">
        <v>42893.433275462965</v>
      </c>
      <c r="D652" s="17" t="s">
        <v>5</v>
      </c>
      <c r="E652" s="17" t="s">
        <v>40</v>
      </c>
      <c r="F652" s="16">
        <v>42893.433275462965</v>
      </c>
      <c r="G652" s="16"/>
      <c r="H652" s="16"/>
      <c r="I652" s="11">
        <v>652</v>
      </c>
    </row>
    <row r="653" spans="1:9" x14ac:dyDescent="0.2">
      <c r="A653" s="17" t="s">
        <v>87</v>
      </c>
      <c r="B653" s="17" t="s">
        <v>37</v>
      </c>
      <c r="C653" s="16">
        <v>42893.433275462965</v>
      </c>
      <c r="D653" s="17" t="s">
        <v>5</v>
      </c>
      <c r="E653" s="17" t="s">
        <v>41</v>
      </c>
      <c r="F653" s="16">
        <v>42893.443460648145</v>
      </c>
      <c r="G653" s="16"/>
      <c r="H653" s="16"/>
      <c r="I653" s="11">
        <v>653</v>
      </c>
    </row>
    <row r="654" spans="1:9" x14ac:dyDescent="0.2">
      <c r="A654" s="17" t="s">
        <v>87</v>
      </c>
      <c r="B654" s="17" t="s">
        <v>37</v>
      </c>
      <c r="C654" s="16">
        <v>42893.433275462965</v>
      </c>
      <c r="D654" s="17" t="s">
        <v>5</v>
      </c>
      <c r="E654" s="17" t="s">
        <v>46</v>
      </c>
      <c r="F654" s="16">
        <v>42894.750636574077</v>
      </c>
      <c r="G654" s="16"/>
      <c r="H654" s="16"/>
      <c r="I654" s="11">
        <v>654</v>
      </c>
    </row>
    <row r="655" spans="1:9" x14ac:dyDescent="0.2">
      <c r="A655" s="17" t="s">
        <v>87</v>
      </c>
      <c r="B655" s="17" t="s">
        <v>37</v>
      </c>
      <c r="C655" s="16">
        <v>42893.433275462965</v>
      </c>
      <c r="D655" s="17" t="s">
        <v>6</v>
      </c>
      <c r="E655" s="17" t="s">
        <v>49</v>
      </c>
      <c r="F655" s="16">
        <v>42895.456145833334</v>
      </c>
      <c r="G655" s="16"/>
      <c r="H655" s="16"/>
      <c r="I655" s="11">
        <v>655</v>
      </c>
    </row>
    <row r="656" spans="1:9" x14ac:dyDescent="0.2">
      <c r="A656" s="17" t="s">
        <v>85</v>
      </c>
      <c r="B656" s="17" t="s">
        <v>37</v>
      </c>
      <c r="C656" s="16">
        <v>42893.436284722222</v>
      </c>
      <c r="D656" s="17" t="s">
        <v>5</v>
      </c>
      <c r="E656" s="17" t="s">
        <v>40</v>
      </c>
      <c r="F656" s="16">
        <v>42893.436296296299</v>
      </c>
      <c r="G656" s="16"/>
      <c r="H656" s="16"/>
      <c r="I656" s="11">
        <v>656</v>
      </c>
    </row>
    <row r="657" spans="1:9" x14ac:dyDescent="0.2">
      <c r="A657" s="17" t="s">
        <v>85</v>
      </c>
      <c r="B657" s="17" t="s">
        <v>37</v>
      </c>
      <c r="C657" s="16">
        <v>42893.436284722222</v>
      </c>
      <c r="D657" s="17" t="s">
        <v>5</v>
      </c>
      <c r="E657" s="17" t="s">
        <v>36</v>
      </c>
      <c r="F657" s="16">
        <v>42893.439143518517</v>
      </c>
      <c r="G657" s="16"/>
      <c r="H657" s="16"/>
      <c r="I657" s="11">
        <v>657</v>
      </c>
    </row>
    <row r="658" spans="1:9" x14ac:dyDescent="0.2">
      <c r="A658" s="17" t="s">
        <v>85</v>
      </c>
      <c r="B658" s="17" t="s">
        <v>37</v>
      </c>
      <c r="C658" s="16">
        <v>42893.436284722222</v>
      </c>
      <c r="D658" s="17" t="s">
        <v>6</v>
      </c>
      <c r="E658" s="17" t="s">
        <v>86</v>
      </c>
      <c r="F658" s="16">
        <v>42893.439143518517</v>
      </c>
      <c r="G658" s="16"/>
      <c r="H658" s="16"/>
      <c r="I658" s="11">
        <v>658</v>
      </c>
    </row>
    <row r="659" spans="1:9" x14ac:dyDescent="0.2">
      <c r="A659" s="17" t="s">
        <v>85</v>
      </c>
      <c r="B659" s="17" t="s">
        <v>37</v>
      </c>
      <c r="C659" s="16">
        <v>42893.436284722222</v>
      </c>
      <c r="D659" s="17" t="s">
        <v>5</v>
      </c>
      <c r="E659" s="17" t="s">
        <v>46</v>
      </c>
      <c r="F659" s="16">
        <v>42893.443518518521</v>
      </c>
      <c r="G659" s="16"/>
      <c r="H659" s="16"/>
      <c r="I659" s="11">
        <v>659</v>
      </c>
    </row>
    <row r="660" spans="1:9" x14ac:dyDescent="0.2">
      <c r="A660" s="17" t="s">
        <v>85</v>
      </c>
      <c r="B660" s="17" t="s">
        <v>37</v>
      </c>
      <c r="C660" s="16">
        <v>42893.436284722222</v>
      </c>
      <c r="D660" s="17" t="s">
        <v>6</v>
      </c>
      <c r="E660" s="17" t="s">
        <v>49</v>
      </c>
      <c r="F660" s="16">
        <v>42893.637962962966</v>
      </c>
      <c r="G660" s="16"/>
      <c r="H660" s="16"/>
      <c r="I660" s="11">
        <v>660</v>
      </c>
    </row>
    <row r="661" spans="1:9" x14ac:dyDescent="0.2">
      <c r="A661" s="17" t="s">
        <v>84</v>
      </c>
      <c r="B661" s="17" t="s">
        <v>37</v>
      </c>
      <c r="C661" s="16">
        <v>42893.536793981482</v>
      </c>
      <c r="D661" s="17" t="s">
        <v>5</v>
      </c>
      <c r="E661" s="17" t="s">
        <v>40</v>
      </c>
      <c r="F661" s="16">
        <v>42893.536851851852</v>
      </c>
      <c r="G661" s="16"/>
      <c r="H661" s="16"/>
      <c r="I661" s="11">
        <v>661</v>
      </c>
    </row>
    <row r="662" spans="1:9" x14ac:dyDescent="0.2">
      <c r="A662" s="17" t="s">
        <v>84</v>
      </c>
      <c r="B662" s="17" t="s">
        <v>37</v>
      </c>
      <c r="C662" s="16">
        <v>42893.536793981482</v>
      </c>
      <c r="D662" s="17" t="s">
        <v>5</v>
      </c>
      <c r="E662" s="17" t="s">
        <v>46</v>
      </c>
      <c r="F662" s="16">
        <v>42893.546782407408</v>
      </c>
      <c r="G662" s="16"/>
      <c r="H662" s="16"/>
      <c r="I662" s="11">
        <v>662</v>
      </c>
    </row>
    <row r="663" spans="1:9" x14ac:dyDescent="0.2">
      <c r="A663" s="17" t="s">
        <v>84</v>
      </c>
      <c r="B663" s="17" t="s">
        <v>37</v>
      </c>
      <c r="C663" s="16">
        <v>42893.536793981482</v>
      </c>
      <c r="D663" s="17" t="s">
        <v>6</v>
      </c>
      <c r="E663" s="17" t="s">
        <v>67</v>
      </c>
      <c r="F663" s="16">
        <v>42893.58556712963</v>
      </c>
      <c r="G663" s="16"/>
      <c r="H663" s="16"/>
      <c r="I663" s="11">
        <v>663</v>
      </c>
    </row>
    <row r="664" spans="1:9" x14ac:dyDescent="0.2">
      <c r="A664" s="17" t="s">
        <v>83</v>
      </c>
      <c r="B664" s="17" t="s">
        <v>37</v>
      </c>
      <c r="C664" s="16">
        <v>42893.600949074076</v>
      </c>
      <c r="D664" s="17" t="s">
        <v>5</v>
      </c>
      <c r="E664" s="17" t="s">
        <v>40</v>
      </c>
      <c r="F664" s="16">
        <v>42893.600983796299</v>
      </c>
      <c r="G664" s="16"/>
      <c r="H664" s="16"/>
      <c r="I664" s="11">
        <v>664</v>
      </c>
    </row>
    <row r="665" spans="1:9" x14ac:dyDescent="0.2">
      <c r="A665" s="17" t="s">
        <v>83</v>
      </c>
      <c r="B665" s="17" t="s">
        <v>37</v>
      </c>
      <c r="C665" s="16">
        <v>42893.600949074076</v>
      </c>
      <c r="D665" s="17" t="s">
        <v>5</v>
      </c>
      <c r="E665" s="17" t="s">
        <v>36</v>
      </c>
      <c r="F665" s="16">
        <v>42893.615798611114</v>
      </c>
      <c r="G665" s="16"/>
      <c r="H665" s="16"/>
      <c r="I665" s="11">
        <v>665</v>
      </c>
    </row>
    <row r="666" spans="1:9" x14ac:dyDescent="0.2">
      <c r="A666" s="17" t="s">
        <v>83</v>
      </c>
      <c r="B666" s="17" t="s">
        <v>37</v>
      </c>
      <c r="C666" s="16">
        <v>42893.600949074076</v>
      </c>
      <c r="D666" s="17" t="s">
        <v>6</v>
      </c>
      <c r="E666" s="17" t="s">
        <v>74</v>
      </c>
      <c r="F666" s="16">
        <v>42893.615798611114</v>
      </c>
      <c r="G666" s="16"/>
      <c r="H666" s="16"/>
      <c r="I666" s="11">
        <v>666</v>
      </c>
    </row>
    <row r="667" spans="1:9" x14ac:dyDescent="0.2">
      <c r="A667" s="17" t="s">
        <v>83</v>
      </c>
      <c r="B667" s="17" t="s">
        <v>37</v>
      </c>
      <c r="C667" s="16">
        <v>42893.600949074076</v>
      </c>
      <c r="D667" s="17" t="s">
        <v>5</v>
      </c>
      <c r="E667" s="17" t="s">
        <v>46</v>
      </c>
      <c r="F667" s="16">
        <v>42893.666076388887</v>
      </c>
      <c r="G667" s="16"/>
      <c r="H667" s="16"/>
      <c r="I667" s="11">
        <v>667</v>
      </c>
    </row>
    <row r="668" spans="1:9" x14ac:dyDescent="0.2">
      <c r="A668" s="17" t="s">
        <v>83</v>
      </c>
      <c r="B668" s="17" t="s">
        <v>37</v>
      </c>
      <c r="C668" s="16">
        <v>42893.600949074076</v>
      </c>
      <c r="D668" s="17" t="s">
        <v>6</v>
      </c>
      <c r="E668" s="17" t="s">
        <v>82</v>
      </c>
      <c r="F668" s="16">
        <v>42893.673321759263</v>
      </c>
      <c r="G668" s="16"/>
      <c r="H668" s="16"/>
      <c r="I668" s="11">
        <v>668</v>
      </c>
    </row>
    <row r="669" spans="1:9" x14ac:dyDescent="0.2">
      <c r="A669" s="17" t="s">
        <v>81</v>
      </c>
      <c r="B669" s="17" t="s">
        <v>37</v>
      </c>
      <c r="C669" s="16">
        <v>42893.635451388887</v>
      </c>
      <c r="D669" s="17" t="s">
        <v>5</v>
      </c>
      <c r="E669" s="17" t="s">
        <v>40</v>
      </c>
      <c r="F669" s="16">
        <v>42893.635474537034</v>
      </c>
      <c r="G669" s="16"/>
      <c r="H669" s="16"/>
      <c r="I669" s="11">
        <v>669</v>
      </c>
    </row>
    <row r="670" spans="1:9" x14ac:dyDescent="0.2">
      <c r="A670" s="17" t="s">
        <v>81</v>
      </c>
      <c r="B670" s="17" t="s">
        <v>37</v>
      </c>
      <c r="C670" s="16">
        <v>42893.635451388887</v>
      </c>
      <c r="D670" s="17" t="s">
        <v>5</v>
      </c>
      <c r="E670" s="17" t="s">
        <v>46</v>
      </c>
      <c r="F670" s="16">
        <v>42893.640231481484</v>
      </c>
      <c r="G670" s="16"/>
      <c r="H670" s="16"/>
      <c r="I670" s="11">
        <v>670</v>
      </c>
    </row>
    <row r="671" spans="1:9" x14ac:dyDescent="0.2">
      <c r="A671" s="17" t="s">
        <v>81</v>
      </c>
      <c r="B671" s="17" t="s">
        <v>37</v>
      </c>
      <c r="C671" s="16">
        <v>42893.635451388887</v>
      </c>
      <c r="D671" s="17" t="s">
        <v>6</v>
      </c>
      <c r="E671" s="17" t="s">
        <v>67</v>
      </c>
      <c r="F671" s="16">
        <v>42893.674768518518</v>
      </c>
      <c r="G671" s="16"/>
      <c r="H671" s="16"/>
      <c r="I671" s="11">
        <v>671</v>
      </c>
    </row>
    <row r="672" spans="1:9" x14ac:dyDescent="0.2">
      <c r="A672" s="17" t="s">
        <v>80</v>
      </c>
      <c r="B672" s="17" t="s">
        <v>37</v>
      </c>
      <c r="C672" s="16">
        <v>42893.674687500003</v>
      </c>
      <c r="D672" s="17" t="s">
        <v>5</v>
      </c>
      <c r="E672" s="17" t="s">
        <v>40</v>
      </c>
      <c r="F672" s="16">
        <v>42893.674733796295</v>
      </c>
      <c r="G672" s="16"/>
      <c r="H672" s="16"/>
      <c r="I672" s="11">
        <v>672</v>
      </c>
    </row>
    <row r="673" spans="1:9" x14ac:dyDescent="0.2">
      <c r="A673" s="17" t="s">
        <v>80</v>
      </c>
      <c r="B673" s="17" t="s">
        <v>37</v>
      </c>
      <c r="C673" s="16">
        <v>42893.674687500003</v>
      </c>
      <c r="D673" s="17" t="s">
        <v>5</v>
      </c>
      <c r="E673" s="17" t="s">
        <v>36</v>
      </c>
      <c r="F673" s="16">
        <v>42893.679861111108</v>
      </c>
      <c r="G673" s="16"/>
      <c r="H673" s="16"/>
      <c r="I673" s="11">
        <v>673</v>
      </c>
    </row>
    <row r="674" spans="1:9" x14ac:dyDescent="0.2">
      <c r="A674" s="17" t="s">
        <v>80</v>
      </c>
      <c r="B674" s="17" t="s">
        <v>37</v>
      </c>
      <c r="C674" s="16">
        <v>42893.674687500003</v>
      </c>
      <c r="D674" s="17" t="s">
        <v>5</v>
      </c>
      <c r="E674" s="17" t="s">
        <v>46</v>
      </c>
      <c r="F674" s="16">
        <v>42893.680439814816</v>
      </c>
      <c r="G674" s="16"/>
      <c r="H674" s="16"/>
      <c r="I674" s="11">
        <v>674</v>
      </c>
    </row>
    <row r="675" spans="1:9" x14ac:dyDescent="0.2">
      <c r="A675" s="17" t="s">
        <v>80</v>
      </c>
      <c r="B675" s="17" t="s">
        <v>37</v>
      </c>
      <c r="C675" s="16">
        <v>42893.674687500003</v>
      </c>
      <c r="D675" s="17" t="s">
        <v>6</v>
      </c>
      <c r="E675" s="17" t="s">
        <v>44</v>
      </c>
      <c r="F675" s="16">
        <v>42893.687175925923</v>
      </c>
      <c r="G675" s="16"/>
      <c r="H675" s="16"/>
      <c r="I675" s="11">
        <v>675</v>
      </c>
    </row>
    <row r="676" spans="1:9" x14ac:dyDescent="0.2">
      <c r="A676" s="17" t="s">
        <v>79</v>
      </c>
      <c r="B676" s="17" t="s">
        <v>37</v>
      </c>
      <c r="C676" s="16">
        <v>42893.688171296293</v>
      </c>
      <c r="D676" s="17" t="s">
        <v>5</v>
      </c>
      <c r="E676" s="17" t="s">
        <v>40</v>
      </c>
      <c r="F676" s="16">
        <v>42893.68818287037</v>
      </c>
      <c r="G676" s="16"/>
      <c r="H676" s="16"/>
      <c r="I676" s="11">
        <v>676</v>
      </c>
    </row>
    <row r="677" spans="1:9" x14ac:dyDescent="0.2">
      <c r="A677" s="17" t="s">
        <v>79</v>
      </c>
      <c r="B677" s="17" t="s">
        <v>37</v>
      </c>
      <c r="C677" s="16">
        <v>42893.688171296293</v>
      </c>
      <c r="D677" s="17" t="s">
        <v>5</v>
      </c>
      <c r="E677" s="17" t="s">
        <v>36</v>
      </c>
      <c r="F677" s="16">
        <v>42893.689641203702</v>
      </c>
      <c r="G677" s="16"/>
      <c r="H677" s="16"/>
      <c r="I677" s="11">
        <v>677</v>
      </c>
    </row>
    <row r="678" spans="1:9" x14ac:dyDescent="0.2">
      <c r="A678" s="17" t="s">
        <v>79</v>
      </c>
      <c r="B678" s="17" t="s">
        <v>37</v>
      </c>
      <c r="C678" s="16">
        <v>42893.688171296293</v>
      </c>
      <c r="D678" s="17" t="s">
        <v>6</v>
      </c>
      <c r="E678" s="17" t="s">
        <v>56</v>
      </c>
      <c r="F678" s="16">
        <v>42893.689641203702</v>
      </c>
      <c r="G678" s="16"/>
      <c r="H678" s="16"/>
      <c r="I678" s="11">
        <v>678</v>
      </c>
    </row>
    <row r="679" spans="1:9" x14ac:dyDescent="0.2">
      <c r="A679" s="17" t="s">
        <v>78</v>
      </c>
      <c r="B679" s="17" t="s">
        <v>37</v>
      </c>
      <c r="C679" s="16">
        <v>42893.697280092594</v>
      </c>
      <c r="D679" s="17" t="s">
        <v>5</v>
      </c>
      <c r="E679" s="17" t="s">
        <v>40</v>
      </c>
      <c r="F679" s="16">
        <v>42893.69734953704</v>
      </c>
      <c r="G679" s="16"/>
      <c r="H679" s="16"/>
      <c r="I679" s="11">
        <v>679</v>
      </c>
    </row>
    <row r="680" spans="1:9" x14ac:dyDescent="0.2">
      <c r="A680" s="17" t="s">
        <v>78</v>
      </c>
      <c r="B680" s="17" t="s">
        <v>37</v>
      </c>
      <c r="C680" s="16">
        <v>42893.697280092594</v>
      </c>
      <c r="D680" s="17" t="s">
        <v>5</v>
      </c>
      <c r="E680" s="17" t="s">
        <v>36</v>
      </c>
      <c r="F680" s="16">
        <v>42893.697800925926</v>
      </c>
      <c r="G680" s="16"/>
      <c r="H680" s="16"/>
      <c r="I680" s="11">
        <v>680</v>
      </c>
    </row>
    <row r="681" spans="1:9" x14ac:dyDescent="0.2">
      <c r="A681" s="17" t="s">
        <v>78</v>
      </c>
      <c r="B681" s="17" t="s">
        <v>37</v>
      </c>
      <c r="C681" s="16">
        <v>42893.697280092594</v>
      </c>
      <c r="D681" s="17" t="s">
        <v>6</v>
      </c>
      <c r="E681" s="17" t="s">
        <v>47</v>
      </c>
      <c r="F681" s="16">
        <v>42893.702604166669</v>
      </c>
      <c r="G681" s="16"/>
      <c r="H681" s="16"/>
      <c r="I681" s="11">
        <v>681</v>
      </c>
    </row>
    <row r="682" spans="1:9" x14ac:dyDescent="0.2">
      <c r="A682" s="17" t="s">
        <v>78</v>
      </c>
      <c r="B682" s="17" t="s">
        <v>37</v>
      </c>
      <c r="C682" s="16">
        <v>42893.697280092594</v>
      </c>
      <c r="D682" s="17" t="s">
        <v>5</v>
      </c>
      <c r="E682" s="17" t="s">
        <v>46</v>
      </c>
      <c r="F682" s="16">
        <v>42894.421134259261</v>
      </c>
      <c r="G682" s="16"/>
      <c r="H682" s="16"/>
      <c r="I682" s="11">
        <v>682</v>
      </c>
    </row>
    <row r="683" spans="1:9" x14ac:dyDescent="0.2">
      <c r="A683" s="17" t="s">
        <v>78</v>
      </c>
      <c r="B683" s="17" t="s">
        <v>37</v>
      </c>
      <c r="C683" s="16">
        <v>42893.697280092594</v>
      </c>
      <c r="D683" s="17" t="s">
        <v>6</v>
      </c>
      <c r="E683" s="17" t="s">
        <v>44</v>
      </c>
      <c r="F683" s="16">
        <v>42894.482662037037</v>
      </c>
      <c r="G683" s="16"/>
      <c r="H683" s="16"/>
      <c r="I683" s="11">
        <v>683</v>
      </c>
    </row>
    <row r="684" spans="1:9" x14ac:dyDescent="0.2">
      <c r="A684" s="17" t="s">
        <v>77</v>
      </c>
      <c r="B684" s="17" t="s">
        <v>37</v>
      </c>
      <c r="C684" s="16">
        <v>42893.699155092596</v>
      </c>
      <c r="D684" s="17" t="s">
        <v>5</v>
      </c>
      <c r="E684" s="17" t="s">
        <v>40</v>
      </c>
      <c r="F684" s="16">
        <v>42893.699155092596</v>
      </c>
      <c r="G684" s="16"/>
      <c r="H684" s="16"/>
      <c r="I684" s="11">
        <v>684</v>
      </c>
    </row>
    <row r="685" spans="1:9" x14ac:dyDescent="0.2">
      <c r="A685" s="17" t="s">
        <v>77</v>
      </c>
      <c r="B685" s="17" t="s">
        <v>37</v>
      </c>
      <c r="C685" s="16">
        <v>42893.699155092596</v>
      </c>
      <c r="D685" s="17" t="s">
        <v>5</v>
      </c>
      <c r="E685" s="17" t="s">
        <v>36</v>
      </c>
      <c r="F685" s="16">
        <v>42893.699560185189</v>
      </c>
      <c r="G685" s="16"/>
      <c r="H685" s="16"/>
      <c r="I685" s="11">
        <v>685</v>
      </c>
    </row>
    <row r="686" spans="1:9" x14ac:dyDescent="0.2">
      <c r="A686" s="17" t="s">
        <v>77</v>
      </c>
      <c r="B686" s="17" t="s">
        <v>37</v>
      </c>
      <c r="C686" s="16">
        <v>42893.699155092596</v>
      </c>
      <c r="D686" s="17" t="s">
        <v>5</v>
      </c>
      <c r="E686" s="17" t="s">
        <v>46</v>
      </c>
      <c r="F686" s="16">
        <v>42893.712847222225</v>
      </c>
      <c r="G686" s="16"/>
      <c r="H686" s="16"/>
      <c r="I686" s="11">
        <v>686</v>
      </c>
    </row>
    <row r="687" spans="1:9" x14ac:dyDescent="0.2">
      <c r="A687" s="17" t="s">
        <v>77</v>
      </c>
      <c r="B687" s="17" t="s">
        <v>37</v>
      </c>
      <c r="C687" s="16">
        <v>42893.699155092596</v>
      </c>
      <c r="D687" s="17" t="s">
        <v>6</v>
      </c>
      <c r="E687" s="17" t="s">
        <v>67</v>
      </c>
      <c r="F687" s="16">
        <v>42893.714074074072</v>
      </c>
      <c r="G687" s="16"/>
      <c r="H687" s="16"/>
      <c r="I687" s="11">
        <v>687</v>
      </c>
    </row>
    <row r="688" spans="1:9" x14ac:dyDescent="0.2">
      <c r="A688" s="17" t="s">
        <v>76</v>
      </c>
      <c r="B688" s="17" t="s">
        <v>37</v>
      </c>
      <c r="C688" s="16">
        <v>42894.31322916667</v>
      </c>
      <c r="D688" s="17" t="s">
        <v>5</v>
      </c>
      <c r="E688" s="17" t="s">
        <v>40</v>
      </c>
      <c r="F688" s="16">
        <v>42894.313275462962</v>
      </c>
      <c r="G688" s="16"/>
      <c r="H688" s="16"/>
      <c r="I688" s="11">
        <v>688</v>
      </c>
    </row>
    <row r="689" spans="1:9" x14ac:dyDescent="0.2">
      <c r="A689" s="17" t="s">
        <v>76</v>
      </c>
      <c r="B689" s="17" t="s">
        <v>37</v>
      </c>
      <c r="C689" s="16">
        <v>42894.31322916667</v>
      </c>
      <c r="D689" s="17" t="s">
        <v>5</v>
      </c>
      <c r="E689" s="17" t="s">
        <v>36</v>
      </c>
      <c r="F689" s="16">
        <v>42894.313888888886</v>
      </c>
      <c r="G689" s="16"/>
      <c r="H689" s="16"/>
      <c r="I689" s="11">
        <v>689</v>
      </c>
    </row>
    <row r="690" spans="1:9" x14ac:dyDescent="0.2">
      <c r="A690" s="17" t="s">
        <v>76</v>
      </c>
      <c r="B690" s="17" t="s">
        <v>37</v>
      </c>
      <c r="C690" s="16">
        <v>42894.31322916667</v>
      </c>
      <c r="D690" s="17" t="s">
        <v>6</v>
      </c>
      <c r="E690" s="17" t="s">
        <v>71</v>
      </c>
      <c r="F690" s="16">
        <v>42894.325335648151</v>
      </c>
      <c r="G690" s="16"/>
      <c r="H690" s="16"/>
      <c r="I690" s="11">
        <v>690</v>
      </c>
    </row>
    <row r="691" spans="1:9" x14ac:dyDescent="0.2">
      <c r="A691" s="17" t="s">
        <v>75</v>
      </c>
      <c r="B691" s="17" t="s">
        <v>37</v>
      </c>
      <c r="C691" s="16">
        <v>42894.403425925928</v>
      </c>
      <c r="D691" s="17" t="s">
        <v>5</v>
      </c>
      <c r="E691" s="17" t="s">
        <v>40</v>
      </c>
      <c r="F691" s="16">
        <v>42894.403506944444</v>
      </c>
      <c r="G691" s="16"/>
      <c r="H691" s="16"/>
      <c r="I691" s="11">
        <v>691</v>
      </c>
    </row>
    <row r="692" spans="1:9" x14ac:dyDescent="0.2">
      <c r="A692" s="17" t="s">
        <v>75</v>
      </c>
      <c r="B692" s="17" t="s">
        <v>37</v>
      </c>
      <c r="C692" s="16">
        <v>42894.403425925928</v>
      </c>
      <c r="D692" s="17" t="s">
        <v>5</v>
      </c>
      <c r="E692" s="17" t="s">
        <v>36</v>
      </c>
      <c r="F692" s="16">
        <v>42894.406192129631</v>
      </c>
      <c r="G692" s="16"/>
      <c r="H692" s="16"/>
      <c r="I692" s="11">
        <v>692</v>
      </c>
    </row>
    <row r="693" spans="1:9" x14ac:dyDescent="0.2">
      <c r="A693" s="17" t="s">
        <v>75</v>
      </c>
      <c r="B693" s="17" t="s">
        <v>37</v>
      </c>
      <c r="C693" s="16">
        <v>42894.403425925928</v>
      </c>
      <c r="D693" s="17" t="s">
        <v>5</v>
      </c>
      <c r="E693" s="17" t="s">
        <v>46</v>
      </c>
      <c r="F693" s="16">
        <v>42894.476782407408</v>
      </c>
      <c r="G693" s="16"/>
      <c r="H693" s="16"/>
      <c r="I693" s="11">
        <v>693</v>
      </c>
    </row>
    <row r="694" spans="1:9" x14ac:dyDescent="0.2">
      <c r="A694" s="17" t="s">
        <v>75</v>
      </c>
      <c r="B694" s="17" t="s">
        <v>37</v>
      </c>
      <c r="C694" s="16">
        <v>42894.403425925928</v>
      </c>
      <c r="D694" s="17" t="s">
        <v>6</v>
      </c>
      <c r="E694" s="17" t="s">
        <v>44</v>
      </c>
      <c r="F694" s="16">
        <v>42894.482893518521</v>
      </c>
      <c r="G694" s="16"/>
      <c r="H694" s="16"/>
      <c r="I694" s="11">
        <v>694</v>
      </c>
    </row>
    <row r="695" spans="1:9" x14ac:dyDescent="0.2">
      <c r="A695" s="17" t="s">
        <v>73</v>
      </c>
      <c r="B695" s="17" t="s">
        <v>37</v>
      </c>
      <c r="C695" s="16">
        <v>42894.411493055559</v>
      </c>
      <c r="D695" s="17" t="s">
        <v>5</v>
      </c>
      <c r="E695" s="17" t="s">
        <v>40</v>
      </c>
      <c r="F695" s="16">
        <v>42894.411562499998</v>
      </c>
      <c r="G695" s="16"/>
      <c r="H695" s="16"/>
      <c r="I695" s="11">
        <v>695</v>
      </c>
    </row>
    <row r="696" spans="1:9" x14ac:dyDescent="0.2">
      <c r="A696" s="17" t="s">
        <v>73</v>
      </c>
      <c r="B696" s="17" t="s">
        <v>37</v>
      </c>
      <c r="C696" s="16">
        <v>42894.411493055559</v>
      </c>
      <c r="D696" s="17" t="s">
        <v>5</v>
      </c>
      <c r="E696" s="17" t="s">
        <v>36</v>
      </c>
      <c r="F696" s="16">
        <v>42894.419386574074</v>
      </c>
      <c r="G696" s="16"/>
      <c r="H696" s="16"/>
      <c r="I696" s="11">
        <v>696</v>
      </c>
    </row>
    <row r="697" spans="1:9" x14ac:dyDescent="0.2">
      <c r="A697" s="17" t="s">
        <v>73</v>
      </c>
      <c r="B697" s="17" t="s">
        <v>37</v>
      </c>
      <c r="C697" s="16">
        <v>42894.411493055559</v>
      </c>
      <c r="D697" s="17" t="s">
        <v>6</v>
      </c>
      <c r="E697" s="17" t="s">
        <v>74</v>
      </c>
      <c r="F697" s="16">
        <v>42894.419386574074</v>
      </c>
      <c r="G697" s="16"/>
      <c r="H697" s="16"/>
      <c r="I697" s="11">
        <v>697</v>
      </c>
    </row>
    <row r="698" spans="1:9" x14ac:dyDescent="0.2">
      <c r="A698" s="17" t="s">
        <v>73</v>
      </c>
      <c r="B698" s="17" t="s">
        <v>37</v>
      </c>
      <c r="C698" s="16">
        <v>42894.411493055559</v>
      </c>
      <c r="D698" s="17" t="s">
        <v>5</v>
      </c>
      <c r="E698" s="17" t="s">
        <v>46</v>
      </c>
      <c r="F698" s="16">
        <v>42894.481145833335</v>
      </c>
      <c r="G698" s="16"/>
      <c r="H698" s="16"/>
      <c r="I698" s="11">
        <v>698</v>
      </c>
    </row>
    <row r="699" spans="1:9" x14ac:dyDescent="0.2">
      <c r="A699" s="17" t="s">
        <v>73</v>
      </c>
      <c r="B699" s="17" t="s">
        <v>37</v>
      </c>
      <c r="C699" s="16">
        <v>42894.411493055559</v>
      </c>
      <c r="D699" s="17" t="s">
        <v>6</v>
      </c>
      <c r="E699" s="17" t="s">
        <v>49</v>
      </c>
      <c r="F699" s="16">
        <v>42894.7346412037</v>
      </c>
      <c r="G699" s="16"/>
      <c r="H699" s="16"/>
      <c r="I699" s="11">
        <v>699</v>
      </c>
    </row>
    <row r="700" spans="1:9" x14ac:dyDescent="0.2">
      <c r="A700" s="17" t="s">
        <v>72</v>
      </c>
      <c r="B700" s="17" t="s">
        <v>37</v>
      </c>
      <c r="C700" s="16">
        <v>42894.423622685186</v>
      </c>
      <c r="D700" s="17" t="s">
        <v>5</v>
      </c>
      <c r="E700" s="17" t="s">
        <v>40</v>
      </c>
      <c r="F700" s="16">
        <v>42894.423668981479</v>
      </c>
      <c r="G700" s="16"/>
      <c r="H700" s="16"/>
      <c r="I700" s="11">
        <v>700</v>
      </c>
    </row>
    <row r="701" spans="1:9" x14ac:dyDescent="0.2">
      <c r="A701" s="17" t="s">
        <v>72</v>
      </c>
      <c r="B701" s="17" t="s">
        <v>37</v>
      </c>
      <c r="C701" s="16">
        <v>42894.423622685186</v>
      </c>
      <c r="D701" s="17" t="s">
        <v>5</v>
      </c>
      <c r="E701" s="17" t="s">
        <v>36</v>
      </c>
      <c r="F701" s="16">
        <v>42894.424259259256</v>
      </c>
      <c r="G701" s="16"/>
      <c r="H701" s="16"/>
      <c r="I701" s="11">
        <v>701</v>
      </c>
    </row>
    <row r="702" spans="1:9" x14ac:dyDescent="0.2">
      <c r="A702" s="17" t="s">
        <v>72</v>
      </c>
      <c r="B702" s="17" t="s">
        <v>37</v>
      </c>
      <c r="C702" s="16">
        <v>42894.423622685186</v>
      </c>
      <c r="D702" s="17" t="s">
        <v>5</v>
      </c>
      <c r="E702" s="17" t="s">
        <v>46</v>
      </c>
      <c r="F702" s="16">
        <v>42894.453460648147</v>
      </c>
      <c r="G702" s="16"/>
      <c r="H702" s="16"/>
      <c r="I702" s="11">
        <v>702</v>
      </c>
    </row>
    <row r="703" spans="1:9" x14ac:dyDescent="0.2">
      <c r="A703" s="17" t="s">
        <v>72</v>
      </c>
      <c r="B703" s="17" t="s">
        <v>37</v>
      </c>
      <c r="C703" s="16">
        <v>42894.423622685186</v>
      </c>
      <c r="D703" s="17" t="s">
        <v>6</v>
      </c>
      <c r="E703" s="17" t="s">
        <v>49</v>
      </c>
      <c r="F703" s="16">
        <v>42894.585763888892</v>
      </c>
      <c r="G703" s="16"/>
      <c r="H703" s="16"/>
      <c r="I703" s="11">
        <v>703</v>
      </c>
    </row>
    <row r="704" spans="1:9" x14ac:dyDescent="0.2">
      <c r="A704" s="17" t="s">
        <v>70</v>
      </c>
      <c r="B704" s="17" t="s">
        <v>37</v>
      </c>
      <c r="C704" s="16">
        <v>42894.574479166666</v>
      </c>
      <c r="D704" s="17" t="s">
        <v>5</v>
      </c>
      <c r="E704" s="17" t="s">
        <v>40</v>
      </c>
      <c r="F704" s="16">
        <v>42894.574490740742</v>
      </c>
      <c r="G704" s="16"/>
      <c r="H704" s="16"/>
      <c r="I704" s="11">
        <v>704</v>
      </c>
    </row>
    <row r="705" spans="1:9" x14ac:dyDescent="0.2">
      <c r="A705" s="17" t="s">
        <v>70</v>
      </c>
      <c r="B705" s="17" t="s">
        <v>37</v>
      </c>
      <c r="C705" s="16">
        <v>42894.574479166666</v>
      </c>
      <c r="D705" s="17" t="s">
        <v>5</v>
      </c>
      <c r="E705" s="17" t="s">
        <v>36</v>
      </c>
      <c r="F705" s="16">
        <v>42894.576574074075</v>
      </c>
      <c r="G705" s="16"/>
      <c r="H705" s="16"/>
      <c r="I705" s="11">
        <v>705</v>
      </c>
    </row>
    <row r="706" spans="1:9" x14ac:dyDescent="0.2">
      <c r="A706" s="17" t="s">
        <v>70</v>
      </c>
      <c r="B706" s="17" t="s">
        <v>37</v>
      </c>
      <c r="C706" s="16">
        <v>42894.574479166666</v>
      </c>
      <c r="D706" s="17" t="s">
        <v>6</v>
      </c>
      <c r="E706" s="17" t="s">
        <v>71</v>
      </c>
      <c r="F706" s="16">
        <v>42894.577800925923</v>
      </c>
      <c r="G706" s="16"/>
      <c r="H706" s="16"/>
      <c r="I706" s="11">
        <v>706</v>
      </c>
    </row>
    <row r="707" spans="1:9" x14ac:dyDescent="0.2">
      <c r="A707" s="17" t="s">
        <v>70</v>
      </c>
      <c r="B707" s="17" t="s">
        <v>37</v>
      </c>
      <c r="C707" s="16">
        <v>42894.574479166666</v>
      </c>
      <c r="D707" s="17" t="s">
        <v>5</v>
      </c>
      <c r="E707" s="17" t="s">
        <v>46</v>
      </c>
      <c r="F707" s="16">
        <v>42894.668576388889</v>
      </c>
      <c r="G707" s="16"/>
      <c r="H707" s="16"/>
      <c r="I707" s="11">
        <v>707</v>
      </c>
    </row>
    <row r="708" spans="1:9" x14ac:dyDescent="0.2">
      <c r="A708" s="17" t="s">
        <v>70</v>
      </c>
      <c r="B708" s="17" t="s">
        <v>37</v>
      </c>
      <c r="C708" s="16">
        <v>42894.574479166666</v>
      </c>
      <c r="D708" s="17" t="s">
        <v>6</v>
      </c>
      <c r="E708" s="17" t="s">
        <v>49</v>
      </c>
      <c r="F708" s="16">
        <v>42894.737800925926</v>
      </c>
      <c r="G708" s="16"/>
      <c r="H708" s="16"/>
      <c r="I708" s="11">
        <v>708</v>
      </c>
    </row>
    <row r="709" spans="1:9" x14ac:dyDescent="0.2">
      <c r="A709" s="17" t="s">
        <v>69</v>
      </c>
      <c r="B709" s="17" t="s">
        <v>37</v>
      </c>
      <c r="C709" s="16">
        <v>42894.578819444447</v>
      </c>
      <c r="D709" s="17" t="s">
        <v>5</v>
      </c>
      <c r="E709" s="17" t="s">
        <v>40</v>
      </c>
      <c r="F709" s="16">
        <v>42894.578842592593</v>
      </c>
      <c r="G709" s="16"/>
      <c r="H709" s="16"/>
      <c r="I709" s="11">
        <v>709</v>
      </c>
    </row>
    <row r="710" spans="1:9" x14ac:dyDescent="0.2">
      <c r="A710" s="17" t="s">
        <v>69</v>
      </c>
      <c r="B710" s="17" t="s">
        <v>37</v>
      </c>
      <c r="C710" s="16">
        <v>42894.578819444447</v>
      </c>
      <c r="D710" s="17" t="s">
        <v>5</v>
      </c>
      <c r="E710" s="17" t="s">
        <v>46</v>
      </c>
      <c r="F710" s="16">
        <v>42894.588078703702</v>
      </c>
      <c r="G710" s="16"/>
      <c r="H710" s="16"/>
      <c r="I710" s="11">
        <v>710</v>
      </c>
    </row>
    <row r="711" spans="1:9" x14ac:dyDescent="0.2">
      <c r="A711" s="17" t="s">
        <v>69</v>
      </c>
      <c r="B711" s="17" t="s">
        <v>37</v>
      </c>
      <c r="C711" s="16">
        <v>42894.578819444447</v>
      </c>
      <c r="D711" s="17" t="s">
        <v>6</v>
      </c>
      <c r="E711" s="17" t="s">
        <v>49</v>
      </c>
      <c r="F711" s="16">
        <v>42894.738680555558</v>
      </c>
      <c r="G711" s="16"/>
      <c r="H711" s="16"/>
      <c r="I711" s="11">
        <v>711</v>
      </c>
    </row>
    <row r="712" spans="1:9" x14ac:dyDescent="0.2">
      <c r="A712" s="17" t="s">
        <v>68</v>
      </c>
      <c r="B712" s="17" t="s">
        <v>37</v>
      </c>
      <c r="C712" s="16">
        <v>42894.582870370374</v>
      </c>
      <c r="D712" s="17" t="s">
        <v>5</v>
      </c>
      <c r="E712" s="17" t="s">
        <v>40</v>
      </c>
      <c r="F712" s="16">
        <v>42894.582881944443</v>
      </c>
      <c r="G712" s="16"/>
      <c r="H712" s="16"/>
      <c r="I712" s="11">
        <v>712</v>
      </c>
    </row>
    <row r="713" spans="1:9" x14ac:dyDescent="0.2">
      <c r="A713" s="17" t="s">
        <v>68</v>
      </c>
      <c r="B713" s="17" t="s">
        <v>37</v>
      </c>
      <c r="C713" s="16">
        <v>42894.582870370374</v>
      </c>
      <c r="D713" s="17" t="s">
        <v>5</v>
      </c>
      <c r="E713" s="17" t="s">
        <v>36</v>
      </c>
      <c r="F713" s="16">
        <v>42894.585405092592</v>
      </c>
      <c r="G713" s="16"/>
      <c r="H713" s="16"/>
      <c r="I713" s="11">
        <v>713</v>
      </c>
    </row>
    <row r="714" spans="1:9" x14ac:dyDescent="0.2">
      <c r="A714" s="17" t="s">
        <v>68</v>
      </c>
      <c r="B714" s="17" t="s">
        <v>37</v>
      </c>
      <c r="C714" s="16">
        <v>42894.582870370374</v>
      </c>
      <c r="D714" s="17" t="s">
        <v>6</v>
      </c>
      <c r="E714" s="17" t="s">
        <v>56</v>
      </c>
      <c r="F714" s="16">
        <v>42894.585405092592</v>
      </c>
      <c r="G714" s="16"/>
      <c r="H714" s="16"/>
      <c r="I714" s="11">
        <v>714</v>
      </c>
    </row>
    <row r="715" spans="1:9" x14ac:dyDescent="0.2">
      <c r="A715" s="17" t="s">
        <v>68</v>
      </c>
      <c r="B715" s="17" t="s">
        <v>37</v>
      </c>
      <c r="C715" s="16">
        <v>42894.582870370374</v>
      </c>
      <c r="D715" s="17" t="s">
        <v>5</v>
      </c>
      <c r="E715" s="17" t="s">
        <v>46</v>
      </c>
      <c r="F715" s="16">
        <v>42895.368263888886</v>
      </c>
      <c r="G715" s="16"/>
      <c r="H715" s="16"/>
      <c r="I715" s="11">
        <v>715</v>
      </c>
    </row>
    <row r="716" spans="1:9" x14ac:dyDescent="0.2">
      <c r="A716" s="17" t="s">
        <v>68</v>
      </c>
      <c r="B716" s="17" t="s">
        <v>37</v>
      </c>
      <c r="C716" s="16">
        <v>42894.582870370374</v>
      </c>
      <c r="D716" s="17" t="s">
        <v>6</v>
      </c>
      <c r="E716" s="17" t="s">
        <v>67</v>
      </c>
      <c r="F716" s="16">
        <v>42895.425543981481</v>
      </c>
      <c r="G716" s="16"/>
      <c r="H716" s="16"/>
      <c r="I716" s="11">
        <v>716</v>
      </c>
    </row>
    <row r="717" spans="1:9" x14ac:dyDescent="0.2">
      <c r="A717" s="17" t="s">
        <v>66</v>
      </c>
      <c r="B717" s="17" t="s">
        <v>65</v>
      </c>
      <c r="C717" s="16">
        <v>42894.58384259259</v>
      </c>
      <c r="D717" s="17" t="s">
        <v>5</v>
      </c>
      <c r="E717" s="17" t="s">
        <v>40</v>
      </c>
      <c r="F717" s="16">
        <v>42894.58388888889</v>
      </c>
      <c r="G717" s="16"/>
      <c r="H717" s="16"/>
      <c r="I717" s="11">
        <v>717</v>
      </c>
    </row>
    <row r="718" spans="1:9" x14ac:dyDescent="0.2">
      <c r="A718" s="17" t="s">
        <v>66</v>
      </c>
      <c r="B718" s="17" t="s">
        <v>65</v>
      </c>
      <c r="C718" s="16">
        <v>42894.58384259259</v>
      </c>
      <c r="D718" s="17" t="s">
        <v>5</v>
      </c>
      <c r="E718" s="17" t="s">
        <v>36</v>
      </c>
      <c r="F718" s="16">
        <v>42894.584143518521</v>
      </c>
      <c r="G718" s="16"/>
      <c r="H718" s="16"/>
      <c r="I718" s="11">
        <v>718</v>
      </c>
    </row>
    <row r="719" spans="1:9" x14ac:dyDescent="0.2">
      <c r="A719" s="17" t="s">
        <v>66</v>
      </c>
      <c r="B719" s="17" t="s">
        <v>65</v>
      </c>
      <c r="C719" s="16">
        <v>42894.58384259259</v>
      </c>
      <c r="D719" s="17" t="s">
        <v>6</v>
      </c>
      <c r="E719" s="17" t="s">
        <v>39</v>
      </c>
      <c r="F719" s="16">
        <v>42894.639884259261</v>
      </c>
      <c r="G719" s="16"/>
      <c r="H719" s="16"/>
      <c r="I719" s="11">
        <v>719</v>
      </c>
    </row>
    <row r="720" spans="1:9" x14ac:dyDescent="0.2">
      <c r="A720" s="17" t="s">
        <v>63</v>
      </c>
      <c r="B720" s="17" t="s">
        <v>37</v>
      </c>
      <c r="C720" s="16">
        <v>42894.58766203704</v>
      </c>
      <c r="D720" s="17" t="s">
        <v>5</v>
      </c>
      <c r="E720" s="17" t="s">
        <v>40</v>
      </c>
      <c r="F720" s="16">
        <v>42894.587731481479</v>
      </c>
      <c r="G720" s="16"/>
      <c r="H720" s="16"/>
      <c r="I720" s="11">
        <v>720</v>
      </c>
    </row>
    <row r="721" spans="1:9" x14ac:dyDescent="0.2">
      <c r="A721" s="17" t="s">
        <v>63</v>
      </c>
      <c r="B721" s="17" t="s">
        <v>37</v>
      </c>
      <c r="C721" s="16">
        <v>42894.58766203704</v>
      </c>
      <c r="D721" s="17" t="s">
        <v>5</v>
      </c>
      <c r="E721" s="17" t="s">
        <v>36</v>
      </c>
      <c r="F721" s="16">
        <v>42894.593692129631</v>
      </c>
      <c r="G721" s="16"/>
      <c r="H721" s="16"/>
      <c r="I721" s="11">
        <v>721</v>
      </c>
    </row>
    <row r="722" spans="1:9" x14ac:dyDescent="0.2">
      <c r="A722" s="17" t="s">
        <v>63</v>
      </c>
      <c r="B722" s="17" t="s">
        <v>37</v>
      </c>
      <c r="C722" s="16">
        <v>42894.58766203704</v>
      </c>
      <c r="D722" s="17" t="s">
        <v>6</v>
      </c>
      <c r="E722" s="17" t="s">
        <v>64</v>
      </c>
      <c r="F722" s="16">
        <v>42894.593692129631</v>
      </c>
      <c r="G722" s="16"/>
      <c r="H722" s="16"/>
      <c r="I722" s="11">
        <v>722</v>
      </c>
    </row>
    <row r="723" spans="1:9" x14ac:dyDescent="0.2">
      <c r="A723" s="17" t="s">
        <v>63</v>
      </c>
      <c r="B723" s="17" t="s">
        <v>37</v>
      </c>
      <c r="C723" s="16">
        <v>42894.58766203704</v>
      </c>
      <c r="D723" s="17" t="s">
        <v>6</v>
      </c>
      <c r="E723" s="17" t="s">
        <v>39</v>
      </c>
      <c r="F723" s="16">
        <v>42894.624143518522</v>
      </c>
      <c r="G723" s="16"/>
      <c r="H723" s="16"/>
      <c r="I723" s="11">
        <v>723</v>
      </c>
    </row>
    <row r="724" spans="1:9" x14ac:dyDescent="0.2">
      <c r="A724" s="17" t="s">
        <v>62</v>
      </c>
      <c r="B724" s="17" t="s">
        <v>37</v>
      </c>
      <c r="C724" s="16">
        <v>42894.607986111114</v>
      </c>
      <c r="D724" s="17" t="s">
        <v>5</v>
      </c>
      <c r="E724" s="17" t="s">
        <v>40</v>
      </c>
      <c r="F724" s="16">
        <v>42894.608101851853</v>
      </c>
      <c r="G724" s="16"/>
      <c r="H724" s="16"/>
      <c r="I724" s="11">
        <v>724</v>
      </c>
    </row>
    <row r="725" spans="1:9" x14ac:dyDescent="0.2">
      <c r="A725" s="17" t="s">
        <v>62</v>
      </c>
      <c r="B725" s="17" t="s">
        <v>37</v>
      </c>
      <c r="C725" s="16">
        <v>42894.607986111114</v>
      </c>
      <c r="D725" s="17" t="s">
        <v>5</v>
      </c>
      <c r="E725" s="17" t="s">
        <v>36</v>
      </c>
      <c r="F725" s="16">
        <v>42894.608576388891</v>
      </c>
      <c r="G725" s="16"/>
      <c r="H725" s="16"/>
      <c r="I725" s="11">
        <v>725</v>
      </c>
    </row>
    <row r="726" spans="1:9" x14ac:dyDescent="0.2">
      <c r="A726" s="17" t="s">
        <v>62</v>
      </c>
      <c r="B726" s="17" t="s">
        <v>37</v>
      </c>
      <c r="C726" s="16">
        <v>42894.607986111114</v>
      </c>
      <c r="D726" s="17" t="s">
        <v>6</v>
      </c>
      <c r="E726" s="17" t="s">
        <v>39</v>
      </c>
      <c r="F726" s="16">
        <v>42894.638136574074</v>
      </c>
      <c r="G726" s="16"/>
      <c r="H726" s="16"/>
      <c r="I726" s="11">
        <v>726</v>
      </c>
    </row>
    <row r="727" spans="1:9" x14ac:dyDescent="0.2">
      <c r="A727" s="17" t="s">
        <v>62</v>
      </c>
      <c r="B727" s="17" t="s">
        <v>37</v>
      </c>
      <c r="C727" s="16">
        <v>42894.607986111114</v>
      </c>
      <c r="D727" s="17" t="s">
        <v>5</v>
      </c>
      <c r="E727" s="17" t="s">
        <v>41</v>
      </c>
      <c r="F727" s="16">
        <v>42894.70412037037</v>
      </c>
      <c r="G727" s="16"/>
      <c r="H727" s="16"/>
      <c r="I727" s="11">
        <v>727</v>
      </c>
    </row>
    <row r="728" spans="1:9" x14ac:dyDescent="0.2">
      <c r="A728" s="17" t="s">
        <v>62</v>
      </c>
      <c r="B728" s="17" t="s">
        <v>37</v>
      </c>
      <c r="C728" s="16">
        <v>42894.607986111114</v>
      </c>
      <c r="D728" s="17" t="s">
        <v>6</v>
      </c>
      <c r="E728" s="17" t="s">
        <v>61</v>
      </c>
      <c r="F728" s="16">
        <v>42894.762002314812</v>
      </c>
      <c r="G728" s="16"/>
      <c r="H728" s="16"/>
      <c r="I728" s="11">
        <v>728</v>
      </c>
    </row>
    <row r="729" spans="1:9" x14ac:dyDescent="0.2">
      <c r="A729" s="17" t="s">
        <v>59</v>
      </c>
      <c r="B729" s="17" t="s">
        <v>37</v>
      </c>
      <c r="C729" s="16">
        <v>42894.667500000003</v>
      </c>
      <c r="D729" s="17" t="s">
        <v>5</v>
      </c>
      <c r="E729" s="17" t="s">
        <v>40</v>
      </c>
      <c r="F729" s="16">
        <v>42894.667557870373</v>
      </c>
      <c r="G729" s="16"/>
      <c r="H729" s="16"/>
      <c r="I729" s="11">
        <v>729</v>
      </c>
    </row>
    <row r="730" spans="1:9" x14ac:dyDescent="0.2">
      <c r="A730" s="17" t="s">
        <v>59</v>
      </c>
      <c r="B730" s="17" t="s">
        <v>37</v>
      </c>
      <c r="C730" s="16">
        <v>42894.667500000003</v>
      </c>
      <c r="D730" s="17" t="s">
        <v>5</v>
      </c>
      <c r="E730" s="17" t="s">
        <v>36</v>
      </c>
      <c r="F730" s="16">
        <v>42894.671493055554</v>
      </c>
      <c r="G730" s="16"/>
      <c r="H730" s="16"/>
      <c r="I730" s="11">
        <v>730</v>
      </c>
    </row>
    <row r="731" spans="1:9" x14ac:dyDescent="0.2">
      <c r="A731" s="17" t="s">
        <v>59</v>
      </c>
      <c r="B731" s="17" t="s">
        <v>37</v>
      </c>
      <c r="C731" s="16">
        <v>42894.667500000003</v>
      </c>
      <c r="D731" s="17" t="s">
        <v>6</v>
      </c>
      <c r="E731" s="17" t="s">
        <v>60</v>
      </c>
      <c r="F731" s="16">
        <v>42894.671493055554</v>
      </c>
      <c r="G731" s="16"/>
      <c r="H731" s="16"/>
      <c r="I731" s="11">
        <v>731</v>
      </c>
    </row>
    <row r="732" spans="1:9" x14ac:dyDescent="0.2">
      <c r="A732" s="17" t="s">
        <v>58</v>
      </c>
      <c r="B732" s="17" t="s">
        <v>37</v>
      </c>
      <c r="C732" s="16">
        <v>42894.709293981483</v>
      </c>
      <c r="D732" s="17" t="s">
        <v>5</v>
      </c>
      <c r="E732" s="17" t="s">
        <v>40</v>
      </c>
      <c r="F732" s="16">
        <v>42894.709328703706</v>
      </c>
      <c r="G732" s="16"/>
      <c r="H732" s="16"/>
      <c r="I732" s="11">
        <v>732</v>
      </c>
    </row>
    <row r="733" spans="1:9" x14ac:dyDescent="0.2">
      <c r="A733" s="17" t="s">
        <v>58</v>
      </c>
      <c r="B733" s="17" t="s">
        <v>37</v>
      </c>
      <c r="C733" s="16">
        <v>42894.709293981483</v>
      </c>
      <c r="D733" s="17" t="s">
        <v>5</v>
      </c>
      <c r="E733" s="17" t="s">
        <v>57</v>
      </c>
      <c r="F733" s="16">
        <v>42894.711296296293</v>
      </c>
      <c r="G733" s="16"/>
      <c r="H733" s="16"/>
      <c r="I733" s="11">
        <v>733</v>
      </c>
    </row>
    <row r="734" spans="1:9" x14ac:dyDescent="0.2">
      <c r="A734" s="17" t="s">
        <v>55</v>
      </c>
      <c r="B734" s="17" t="s">
        <v>37</v>
      </c>
      <c r="C734" s="16">
        <v>42895.426678240743</v>
      </c>
      <c r="D734" s="17" t="s">
        <v>5</v>
      </c>
      <c r="E734" s="17" t="s">
        <v>40</v>
      </c>
      <c r="F734" s="16">
        <v>42895.426689814813</v>
      </c>
      <c r="G734" s="16"/>
      <c r="H734" s="16"/>
      <c r="I734" s="11">
        <v>734</v>
      </c>
    </row>
    <row r="735" spans="1:9" x14ac:dyDescent="0.2">
      <c r="A735" s="17" t="s">
        <v>55</v>
      </c>
      <c r="B735" s="17" t="s">
        <v>37</v>
      </c>
      <c r="C735" s="16">
        <v>42895.426678240743</v>
      </c>
      <c r="D735" s="17" t="s">
        <v>5</v>
      </c>
      <c r="E735" s="17" t="s">
        <v>36</v>
      </c>
      <c r="F735" s="16">
        <v>42895.433310185188</v>
      </c>
      <c r="G735" s="16"/>
      <c r="H735" s="16"/>
      <c r="I735" s="11">
        <v>735</v>
      </c>
    </row>
    <row r="736" spans="1:9" x14ac:dyDescent="0.2">
      <c r="A736" s="17" t="s">
        <v>55</v>
      </c>
      <c r="B736" s="17" t="s">
        <v>37</v>
      </c>
      <c r="C736" s="16">
        <v>42895.426678240743</v>
      </c>
      <c r="D736" s="17" t="s">
        <v>6</v>
      </c>
      <c r="E736" s="17" t="s">
        <v>56</v>
      </c>
      <c r="F736" s="16">
        <v>42895.433310185188</v>
      </c>
      <c r="G736" s="16"/>
      <c r="H736" s="16"/>
      <c r="I736" s="11">
        <v>736</v>
      </c>
    </row>
    <row r="737" spans="1:9" x14ac:dyDescent="0.2">
      <c r="A737" s="17" t="s">
        <v>52</v>
      </c>
      <c r="B737" s="17" t="s">
        <v>37</v>
      </c>
      <c r="C737" s="16">
        <v>42895.464629629627</v>
      </c>
      <c r="D737" s="17" t="s">
        <v>5</v>
      </c>
      <c r="E737" s="17" t="s">
        <v>40</v>
      </c>
      <c r="F737" s="16">
        <v>42895.464629629627</v>
      </c>
      <c r="G737" s="16"/>
      <c r="H737" s="16"/>
      <c r="I737" s="11">
        <v>737</v>
      </c>
    </row>
    <row r="738" spans="1:9" x14ac:dyDescent="0.2">
      <c r="A738" s="17" t="s">
        <v>52</v>
      </c>
      <c r="B738" s="17" t="s">
        <v>37</v>
      </c>
      <c r="C738" s="16">
        <v>42895.464629629627</v>
      </c>
      <c r="D738" s="17" t="s">
        <v>5</v>
      </c>
      <c r="E738" s="17" t="s">
        <v>54</v>
      </c>
      <c r="F738" s="16">
        <v>42895.466238425928</v>
      </c>
      <c r="G738" s="16"/>
      <c r="H738" s="16"/>
      <c r="I738" s="11">
        <v>738</v>
      </c>
    </row>
    <row r="739" spans="1:9" x14ac:dyDescent="0.2">
      <c r="A739" s="17" t="s">
        <v>52</v>
      </c>
      <c r="B739" s="17" t="s">
        <v>37</v>
      </c>
      <c r="C739" s="16">
        <v>42895.464629629627</v>
      </c>
      <c r="D739" s="17" t="s">
        <v>5</v>
      </c>
      <c r="E739" s="17" t="s">
        <v>53</v>
      </c>
      <c r="F739" s="16">
        <v>42895.585902777777</v>
      </c>
      <c r="G739" s="16"/>
      <c r="H739" s="16"/>
      <c r="I739" s="11">
        <v>739</v>
      </c>
    </row>
    <row r="740" spans="1:9" x14ac:dyDescent="0.2">
      <c r="A740" s="17" t="s">
        <v>52</v>
      </c>
      <c r="B740" s="17" t="s">
        <v>37</v>
      </c>
      <c r="C740" s="16">
        <v>42895.464629629627</v>
      </c>
      <c r="D740" s="17" t="s">
        <v>5</v>
      </c>
      <c r="E740" s="17" t="s">
        <v>51</v>
      </c>
      <c r="F740" s="16">
        <v>42895.602256944447</v>
      </c>
      <c r="G740" s="16"/>
      <c r="H740" s="16"/>
      <c r="I740" s="11">
        <v>740</v>
      </c>
    </row>
    <row r="741" spans="1:9" x14ac:dyDescent="0.2">
      <c r="A741" s="17" t="s">
        <v>50</v>
      </c>
      <c r="B741" s="17" t="s">
        <v>37</v>
      </c>
      <c r="C741" s="16">
        <v>42895.480243055557</v>
      </c>
      <c r="D741" s="17" t="s">
        <v>5</v>
      </c>
      <c r="E741" s="17" t="s">
        <v>40</v>
      </c>
      <c r="F741" s="16">
        <v>42895.48027777778</v>
      </c>
      <c r="G741" s="16"/>
      <c r="H741" s="16"/>
      <c r="I741" s="11">
        <v>741</v>
      </c>
    </row>
    <row r="742" spans="1:9" x14ac:dyDescent="0.2">
      <c r="A742" s="17" t="s">
        <v>50</v>
      </c>
      <c r="B742" s="17" t="s">
        <v>37</v>
      </c>
      <c r="C742" s="16">
        <v>42895.480243055557</v>
      </c>
      <c r="D742" s="17" t="s">
        <v>5</v>
      </c>
      <c r="E742" s="17" t="s">
        <v>36</v>
      </c>
      <c r="F742" s="16">
        <v>42895.481620370374</v>
      </c>
      <c r="G742" s="16"/>
      <c r="H742" s="16"/>
      <c r="I742" s="11">
        <v>742</v>
      </c>
    </row>
    <row r="743" spans="1:9" x14ac:dyDescent="0.2">
      <c r="A743" s="17" t="s">
        <v>50</v>
      </c>
      <c r="B743" s="17" t="s">
        <v>37</v>
      </c>
      <c r="C743" s="16">
        <v>42895.480243055557</v>
      </c>
      <c r="D743" s="17" t="s">
        <v>6</v>
      </c>
      <c r="E743" s="17" t="s">
        <v>47</v>
      </c>
      <c r="F743" s="16">
        <v>42895.505578703705</v>
      </c>
      <c r="G743" s="16"/>
      <c r="H743" s="16"/>
      <c r="I743" s="11">
        <v>743</v>
      </c>
    </row>
    <row r="744" spans="1:9" x14ac:dyDescent="0.2">
      <c r="A744" s="17" t="s">
        <v>50</v>
      </c>
      <c r="B744" s="17" t="s">
        <v>37</v>
      </c>
      <c r="C744" s="16">
        <v>42895.480243055557</v>
      </c>
      <c r="D744" s="17" t="s">
        <v>5</v>
      </c>
      <c r="E744" s="17" t="s">
        <v>46</v>
      </c>
      <c r="F744" s="16">
        <v>42895.572233796294</v>
      </c>
      <c r="G744" s="16"/>
      <c r="H744" s="16"/>
      <c r="I744" s="11">
        <v>744</v>
      </c>
    </row>
    <row r="745" spans="1:9" x14ac:dyDescent="0.2">
      <c r="A745" s="17" t="s">
        <v>50</v>
      </c>
      <c r="B745" s="17" t="s">
        <v>37</v>
      </c>
      <c r="C745" s="16">
        <v>42895.480243055557</v>
      </c>
      <c r="D745" s="17" t="s">
        <v>6</v>
      </c>
      <c r="E745" s="17" t="s">
        <v>49</v>
      </c>
      <c r="F745" s="16">
        <v>42895.574421296296</v>
      </c>
      <c r="G745" s="16"/>
      <c r="H745" s="16"/>
      <c r="I745" s="11">
        <v>745</v>
      </c>
    </row>
    <row r="746" spans="1:9" x14ac:dyDescent="0.2">
      <c r="A746" s="17" t="s">
        <v>48</v>
      </c>
      <c r="B746" s="17" t="s">
        <v>37</v>
      </c>
      <c r="C746" s="16">
        <v>42895.487881944442</v>
      </c>
      <c r="D746" s="17" t="s">
        <v>5</v>
      </c>
      <c r="E746" s="17" t="s">
        <v>40</v>
      </c>
      <c r="F746" s="16">
        <v>42895.487916666665</v>
      </c>
      <c r="G746" s="16"/>
      <c r="H746" s="16"/>
      <c r="I746" s="11">
        <v>746</v>
      </c>
    </row>
    <row r="747" spans="1:9" x14ac:dyDescent="0.2">
      <c r="A747" s="17" t="s">
        <v>48</v>
      </c>
      <c r="B747" s="17" t="s">
        <v>37</v>
      </c>
      <c r="C747" s="16">
        <v>42895.487881944442</v>
      </c>
      <c r="D747" s="17" t="s">
        <v>5</v>
      </c>
      <c r="E747" s="17" t="s">
        <v>36</v>
      </c>
      <c r="F747" s="16">
        <v>42895.488263888888</v>
      </c>
      <c r="G747" s="16"/>
      <c r="H747" s="16"/>
      <c r="I747" s="11">
        <v>747</v>
      </c>
    </row>
    <row r="748" spans="1:9" x14ac:dyDescent="0.2">
      <c r="A748" s="17" t="s">
        <v>48</v>
      </c>
      <c r="B748" s="17" t="s">
        <v>37</v>
      </c>
      <c r="C748" s="16">
        <v>42895.487881944442</v>
      </c>
      <c r="D748" s="17" t="s">
        <v>6</v>
      </c>
      <c r="E748" s="17" t="s">
        <v>47</v>
      </c>
      <c r="F748" s="16">
        <v>42895.506782407407</v>
      </c>
      <c r="G748" s="16"/>
      <c r="H748" s="16"/>
      <c r="I748" s="11">
        <v>748</v>
      </c>
    </row>
    <row r="749" spans="1:9" x14ac:dyDescent="0.2">
      <c r="A749" s="17" t="s">
        <v>45</v>
      </c>
      <c r="B749" s="17" t="s">
        <v>37</v>
      </c>
      <c r="C749" s="16">
        <v>42895.494143518517</v>
      </c>
      <c r="D749" s="17" t="s">
        <v>5</v>
      </c>
      <c r="E749" s="17" t="s">
        <v>40</v>
      </c>
      <c r="F749" s="16">
        <v>42895.494212962964</v>
      </c>
      <c r="G749" s="16"/>
      <c r="H749" s="16"/>
      <c r="I749" s="11">
        <v>749</v>
      </c>
    </row>
    <row r="750" spans="1:9" x14ac:dyDescent="0.2">
      <c r="A750" s="17" t="s">
        <v>45</v>
      </c>
      <c r="B750" s="17" t="s">
        <v>37</v>
      </c>
      <c r="C750" s="16">
        <v>42895.494143518517</v>
      </c>
      <c r="D750" s="17" t="s">
        <v>5</v>
      </c>
      <c r="E750" s="17" t="s">
        <v>46</v>
      </c>
      <c r="F750" s="16">
        <v>42895.500590277778</v>
      </c>
      <c r="G750" s="16"/>
      <c r="H750" s="16"/>
      <c r="I750" s="11">
        <v>750</v>
      </c>
    </row>
    <row r="751" spans="1:9" x14ac:dyDescent="0.2">
      <c r="A751" s="17" t="s">
        <v>45</v>
      </c>
      <c r="B751" s="17" t="s">
        <v>37</v>
      </c>
      <c r="C751" s="16">
        <v>42895.494143518517</v>
      </c>
      <c r="D751" s="17" t="s">
        <v>6</v>
      </c>
      <c r="E751" s="17" t="s">
        <v>44</v>
      </c>
      <c r="F751" s="16">
        <v>42895.562777777777</v>
      </c>
      <c r="G751" s="16"/>
      <c r="H751" s="16"/>
      <c r="I751" s="11">
        <v>751</v>
      </c>
    </row>
    <row r="752" spans="1:9" x14ac:dyDescent="0.2">
      <c r="A752" s="17" t="s">
        <v>43</v>
      </c>
      <c r="B752" s="17" t="s">
        <v>37</v>
      </c>
      <c r="C752" s="16">
        <v>42895.51803240741</v>
      </c>
      <c r="D752" s="17" t="s">
        <v>5</v>
      </c>
      <c r="E752" s="17" t="s">
        <v>40</v>
      </c>
      <c r="F752" s="16">
        <v>42895.518090277779</v>
      </c>
      <c r="G752" s="16"/>
      <c r="H752" s="16"/>
      <c r="I752" s="11">
        <v>752</v>
      </c>
    </row>
    <row r="753" spans="1:9" x14ac:dyDescent="0.2">
      <c r="A753" s="17" t="s">
        <v>43</v>
      </c>
      <c r="B753" s="17" t="s">
        <v>37</v>
      </c>
      <c r="C753" s="16">
        <v>42895.51803240741</v>
      </c>
      <c r="D753" s="17" t="s">
        <v>5</v>
      </c>
      <c r="E753" s="17" t="s">
        <v>36</v>
      </c>
      <c r="F753" s="16">
        <v>42895.518518518518</v>
      </c>
      <c r="G753" s="16"/>
      <c r="H753" s="16"/>
      <c r="I753" s="11">
        <v>753</v>
      </c>
    </row>
    <row r="754" spans="1:9" x14ac:dyDescent="0.2">
      <c r="A754" s="17" t="s">
        <v>43</v>
      </c>
      <c r="B754" s="17" t="s">
        <v>37</v>
      </c>
      <c r="C754" s="16">
        <v>42895.51803240741</v>
      </c>
      <c r="D754" s="17" t="s">
        <v>6</v>
      </c>
      <c r="E754" s="17" t="s">
        <v>39</v>
      </c>
      <c r="F754" s="16">
        <v>42895.523761574077</v>
      </c>
      <c r="G754" s="16"/>
      <c r="H754" s="16"/>
      <c r="I754" s="11">
        <v>754</v>
      </c>
    </row>
    <row r="755" spans="1:9" x14ac:dyDescent="0.2">
      <c r="A755" s="17" t="s">
        <v>43</v>
      </c>
      <c r="B755" s="17" t="s">
        <v>37</v>
      </c>
      <c r="C755" s="16">
        <v>42895.51803240741</v>
      </c>
      <c r="D755" s="17" t="s">
        <v>5</v>
      </c>
      <c r="E755" s="17" t="s">
        <v>41</v>
      </c>
      <c r="F755" s="16">
        <v>42895.540462962963</v>
      </c>
      <c r="G755" s="16"/>
      <c r="H755" s="16"/>
      <c r="I755" s="11">
        <v>755</v>
      </c>
    </row>
    <row r="756" spans="1:9" x14ac:dyDescent="0.2">
      <c r="A756" s="17" t="s">
        <v>42</v>
      </c>
      <c r="B756" s="17" t="s">
        <v>37</v>
      </c>
      <c r="C756" s="16">
        <v>42895.605613425927</v>
      </c>
      <c r="D756" s="17" t="s">
        <v>5</v>
      </c>
      <c r="E756" s="17" t="s">
        <v>40</v>
      </c>
      <c r="F756" s="16">
        <v>42895.605613425927</v>
      </c>
      <c r="G756" s="16"/>
      <c r="H756" s="16"/>
      <c r="I756" s="11">
        <v>756</v>
      </c>
    </row>
    <row r="757" spans="1:9" x14ac:dyDescent="0.2">
      <c r="A757" s="17" t="s">
        <v>42</v>
      </c>
      <c r="B757" s="17" t="s">
        <v>37</v>
      </c>
      <c r="C757" s="16">
        <v>42895.605613425927</v>
      </c>
      <c r="D757" s="17" t="s">
        <v>5</v>
      </c>
      <c r="E757" s="17" t="s">
        <v>36</v>
      </c>
      <c r="F757" s="16">
        <v>42895.607546296298</v>
      </c>
      <c r="G757" s="16"/>
      <c r="H757" s="16"/>
      <c r="I757" s="11">
        <v>757</v>
      </c>
    </row>
    <row r="758" spans="1:9" x14ac:dyDescent="0.2">
      <c r="A758" s="17" t="s">
        <v>42</v>
      </c>
      <c r="B758" s="17" t="s">
        <v>37</v>
      </c>
      <c r="C758" s="16">
        <v>42895.605613425927</v>
      </c>
      <c r="D758" s="17" t="s">
        <v>5</v>
      </c>
      <c r="E758" s="17" t="s">
        <v>41</v>
      </c>
      <c r="F758" s="16">
        <v>42895.661932870367</v>
      </c>
      <c r="G758" s="16"/>
      <c r="H758" s="16"/>
      <c r="I758" s="11">
        <v>758</v>
      </c>
    </row>
    <row r="759" spans="1:9" x14ac:dyDescent="0.2">
      <c r="A759" s="17" t="s">
        <v>38</v>
      </c>
      <c r="B759" s="17" t="s">
        <v>37</v>
      </c>
      <c r="C759" s="16">
        <v>42895.711817129632</v>
      </c>
      <c r="D759" s="17" t="s">
        <v>5</v>
      </c>
      <c r="E759" s="17" t="s">
        <v>40</v>
      </c>
      <c r="F759" s="16">
        <v>42895.711851851855</v>
      </c>
      <c r="G759" s="16"/>
      <c r="H759" s="16"/>
      <c r="I759" s="11">
        <v>759</v>
      </c>
    </row>
    <row r="760" spans="1:9" x14ac:dyDescent="0.2">
      <c r="A760" s="17" t="s">
        <v>38</v>
      </c>
      <c r="B760" s="17" t="s">
        <v>37</v>
      </c>
      <c r="C760" s="16">
        <v>42895.711817129632</v>
      </c>
      <c r="D760" s="17" t="s">
        <v>5</v>
      </c>
      <c r="E760" s="17" t="s">
        <v>36</v>
      </c>
      <c r="F760" s="16">
        <v>42895.722986111112</v>
      </c>
      <c r="G760" s="16"/>
      <c r="H760" s="16"/>
      <c r="I760" s="11">
        <v>760</v>
      </c>
    </row>
    <row r="761" spans="1:9" x14ac:dyDescent="0.2">
      <c r="A761" s="17" t="s">
        <v>38</v>
      </c>
      <c r="B761" s="17" t="s">
        <v>37</v>
      </c>
      <c r="C761" s="16">
        <v>42895.711817129632</v>
      </c>
      <c r="D761" s="17" t="s">
        <v>6</v>
      </c>
      <c r="E761" s="17" t="s">
        <v>39</v>
      </c>
      <c r="F761" s="16">
        <v>42895.722986111112</v>
      </c>
      <c r="G761" s="16"/>
      <c r="H761" s="16"/>
      <c r="I761" s="11">
        <v>761</v>
      </c>
    </row>
    <row r="762" spans="1:9" x14ac:dyDescent="0.2">
      <c r="I762" s="11">
        <v>762</v>
      </c>
    </row>
  </sheetData>
  <sortState ref="A2:H761">
    <sortCondition ref="A2:A761"/>
    <sortCondition ref="F2:F761"/>
    <sortCondition descending="1" ref="D2:D761"/>
  </sortState>
  <pageMargins left="0.75" right="0.75" top="1" bottom="1" header="0.5" footer="0.5"/>
  <pageSetup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"/>
  <sheetViews>
    <sheetView topLeftCell="A7" workbookViewId="0">
      <selection activeCell="G32" sqref="G32"/>
    </sheetView>
  </sheetViews>
  <sheetFormatPr defaultRowHeight="12.75" x14ac:dyDescent="0.2"/>
  <cols>
    <col min="1" max="1" width="11" style="11" customWidth="1"/>
    <col min="2" max="2" width="9.42578125" style="11" customWidth="1"/>
    <col min="3" max="3" width="10.85546875" style="11" bestFit="1" customWidth="1"/>
    <col min="4" max="16384" width="9.140625" style="11"/>
  </cols>
  <sheetData>
    <row r="1" spans="1:3" x14ac:dyDescent="0.2">
      <c r="A1" s="10">
        <v>41640</v>
      </c>
      <c r="B1" s="11" t="s">
        <v>19</v>
      </c>
      <c r="C1" s="11" t="s">
        <v>20</v>
      </c>
    </row>
    <row r="2" spans="1:3" x14ac:dyDescent="0.2">
      <c r="A2" s="10">
        <v>41659</v>
      </c>
      <c r="B2" s="11" t="s">
        <v>21</v>
      </c>
      <c r="C2" s="11" t="s">
        <v>22</v>
      </c>
    </row>
    <row r="3" spans="1:3" x14ac:dyDescent="0.2">
      <c r="A3" s="10">
        <v>41687</v>
      </c>
      <c r="B3" s="11" t="s">
        <v>23</v>
      </c>
      <c r="C3" s="11" t="s">
        <v>22</v>
      </c>
    </row>
    <row r="4" spans="1:3" x14ac:dyDescent="0.2">
      <c r="A4" s="10">
        <v>41785</v>
      </c>
      <c r="B4" s="11" t="s">
        <v>24</v>
      </c>
      <c r="C4" s="11" t="s">
        <v>22</v>
      </c>
    </row>
    <row r="5" spans="1:3" x14ac:dyDescent="0.2">
      <c r="A5" s="10">
        <v>41824</v>
      </c>
      <c r="B5" s="11" t="s">
        <v>25</v>
      </c>
      <c r="C5" s="11" t="s">
        <v>26</v>
      </c>
    </row>
    <row r="6" spans="1:3" x14ac:dyDescent="0.2">
      <c r="A6" s="10">
        <v>41883</v>
      </c>
      <c r="B6" s="11" t="s">
        <v>27</v>
      </c>
      <c r="C6" s="11" t="s">
        <v>22</v>
      </c>
    </row>
    <row r="7" spans="1:3" x14ac:dyDescent="0.2">
      <c r="A7" s="10">
        <v>41925</v>
      </c>
      <c r="B7" s="11" t="s">
        <v>28</v>
      </c>
      <c r="C7" s="11" t="s">
        <v>22</v>
      </c>
    </row>
    <row r="8" spans="1:3" x14ac:dyDescent="0.2">
      <c r="A8" s="10">
        <v>41954</v>
      </c>
      <c r="B8" s="11" t="s">
        <v>29</v>
      </c>
      <c r="C8" s="11" t="s">
        <v>30</v>
      </c>
    </row>
    <row r="9" spans="1:3" x14ac:dyDescent="0.2">
      <c r="A9" s="10">
        <v>41970</v>
      </c>
      <c r="B9" s="11" t="s">
        <v>31</v>
      </c>
      <c r="C9" s="11" t="s">
        <v>32</v>
      </c>
    </row>
    <row r="10" spans="1:3" x14ac:dyDescent="0.2">
      <c r="A10" s="10">
        <v>41998</v>
      </c>
      <c r="B10" s="11" t="s">
        <v>33</v>
      </c>
      <c r="C10" s="11" t="s">
        <v>32</v>
      </c>
    </row>
    <row r="11" spans="1:3" x14ac:dyDescent="0.2">
      <c r="A11" s="10">
        <v>42005</v>
      </c>
      <c r="B11" s="11" t="s">
        <v>19</v>
      </c>
      <c r="C11" s="11" t="s">
        <v>32</v>
      </c>
    </row>
    <row r="12" spans="1:3" x14ac:dyDescent="0.2">
      <c r="A12" s="10">
        <v>42023</v>
      </c>
      <c r="B12" s="11" t="s">
        <v>21</v>
      </c>
      <c r="C12" s="11" t="s">
        <v>22</v>
      </c>
    </row>
    <row r="13" spans="1:3" x14ac:dyDescent="0.2">
      <c r="A13" s="10">
        <v>42051</v>
      </c>
      <c r="B13" s="11" t="s">
        <v>23</v>
      </c>
      <c r="C13" s="11" t="s">
        <v>22</v>
      </c>
    </row>
    <row r="14" spans="1:3" x14ac:dyDescent="0.2">
      <c r="A14" s="10">
        <v>42149</v>
      </c>
      <c r="B14" s="11" t="s">
        <v>24</v>
      </c>
      <c r="C14" s="11" t="s">
        <v>22</v>
      </c>
    </row>
    <row r="15" spans="1:3" x14ac:dyDescent="0.2">
      <c r="A15" s="10">
        <v>42188</v>
      </c>
      <c r="B15" s="11" t="s">
        <v>34</v>
      </c>
      <c r="C15" s="11" t="s">
        <v>26</v>
      </c>
    </row>
    <row r="16" spans="1:3" x14ac:dyDescent="0.2">
      <c r="A16" s="10">
        <v>42189</v>
      </c>
      <c r="B16" s="11" t="s">
        <v>25</v>
      </c>
      <c r="C16" s="11" t="s">
        <v>35</v>
      </c>
    </row>
    <row r="17" spans="1:7" x14ac:dyDescent="0.2">
      <c r="A17" s="10">
        <v>42254</v>
      </c>
      <c r="B17" s="11" t="s">
        <v>27</v>
      </c>
      <c r="C17" s="11" t="s">
        <v>22</v>
      </c>
    </row>
    <row r="18" spans="1:7" x14ac:dyDescent="0.2">
      <c r="A18" s="10">
        <v>42289</v>
      </c>
      <c r="B18" s="11" t="s">
        <v>28</v>
      </c>
      <c r="C18" s="11" t="s">
        <v>22</v>
      </c>
    </row>
    <row r="19" spans="1:7" x14ac:dyDescent="0.2">
      <c r="A19" s="10">
        <v>42319</v>
      </c>
      <c r="B19" s="11" t="s">
        <v>29</v>
      </c>
      <c r="C19" s="11" t="s">
        <v>20</v>
      </c>
    </row>
    <row r="20" spans="1:7" x14ac:dyDescent="0.2">
      <c r="A20" s="10">
        <v>42334</v>
      </c>
      <c r="B20" s="11" t="s">
        <v>31</v>
      </c>
      <c r="C20" s="11" t="s">
        <v>32</v>
      </c>
    </row>
    <row r="21" spans="1:7" x14ac:dyDescent="0.2">
      <c r="A21" s="10">
        <v>42363</v>
      </c>
      <c r="B21" s="11" t="s">
        <v>33</v>
      </c>
      <c r="C21" s="11" t="s">
        <v>26</v>
      </c>
    </row>
    <row r="22" spans="1:7" ht="14.25" x14ac:dyDescent="0.2">
      <c r="A22" s="10">
        <v>42370</v>
      </c>
      <c r="B22" s="11" t="s">
        <v>19</v>
      </c>
      <c r="C22" s="13" t="s">
        <v>26</v>
      </c>
      <c r="F22" s="12"/>
      <c r="G22" s="13"/>
    </row>
    <row r="23" spans="1:7" ht="14.25" x14ac:dyDescent="0.2">
      <c r="A23" s="10">
        <v>42387</v>
      </c>
      <c r="B23" s="11" t="s">
        <v>21</v>
      </c>
      <c r="C23" s="15" t="s">
        <v>22</v>
      </c>
      <c r="F23" s="14"/>
      <c r="G23" s="15"/>
    </row>
    <row r="24" spans="1:7" ht="14.25" x14ac:dyDescent="0.2">
      <c r="A24" s="10">
        <v>42415</v>
      </c>
      <c r="B24" s="11" t="s">
        <v>23</v>
      </c>
      <c r="C24" s="15" t="s">
        <v>22</v>
      </c>
    </row>
    <row r="25" spans="1:7" ht="14.25" x14ac:dyDescent="0.2">
      <c r="A25" s="10">
        <v>42520</v>
      </c>
      <c r="B25" s="11" t="s">
        <v>24</v>
      </c>
      <c r="C25" s="15" t="s">
        <v>22</v>
      </c>
      <c r="E25" s="15"/>
      <c r="F25" s="14"/>
      <c r="G25" s="15"/>
    </row>
    <row r="26" spans="1:7" ht="14.25" x14ac:dyDescent="0.2">
      <c r="A26" s="10">
        <v>42555</v>
      </c>
      <c r="B26" s="11" t="s">
        <v>25</v>
      </c>
      <c r="C26" s="15" t="s">
        <v>22</v>
      </c>
      <c r="E26" s="15"/>
      <c r="F26" s="14"/>
      <c r="G26" s="15"/>
    </row>
    <row r="27" spans="1:7" ht="14.25" x14ac:dyDescent="0.2">
      <c r="A27" s="10">
        <v>42618</v>
      </c>
      <c r="B27" s="11" t="s">
        <v>27</v>
      </c>
      <c r="C27" s="15" t="s">
        <v>22</v>
      </c>
      <c r="E27" s="15"/>
      <c r="F27" s="14"/>
      <c r="G27" s="15"/>
    </row>
    <row r="28" spans="1:7" ht="14.25" x14ac:dyDescent="0.2">
      <c r="A28" s="10">
        <v>42653</v>
      </c>
      <c r="B28" s="11" t="s">
        <v>28</v>
      </c>
      <c r="C28" s="15" t="s">
        <v>22</v>
      </c>
      <c r="E28" s="15"/>
      <c r="F28" s="14"/>
      <c r="G28" s="15"/>
    </row>
    <row r="29" spans="1:7" ht="14.25" x14ac:dyDescent="0.2">
      <c r="A29" s="10">
        <v>42685</v>
      </c>
      <c r="B29" s="11" t="s">
        <v>29</v>
      </c>
      <c r="C29" s="15" t="s">
        <v>26</v>
      </c>
      <c r="E29" s="15"/>
      <c r="F29" s="14"/>
      <c r="G29" s="15"/>
    </row>
    <row r="30" spans="1:7" ht="14.25" x14ac:dyDescent="0.2">
      <c r="A30" s="10">
        <v>42698</v>
      </c>
      <c r="B30" s="11" t="s">
        <v>31</v>
      </c>
      <c r="C30" s="15" t="s">
        <v>32</v>
      </c>
      <c r="E30" s="15"/>
      <c r="F30" s="14"/>
      <c r="G30" s="15"/>
    </row>
    <row r="31" spans="1:7" ht="14.25" x14ac:dyDescent="0.2">
      <c r="A31" s="10">
        <v>42730</v>
      </c>
      <c r="B31" s="11" t="s">
        <v>33</v>
      </c>
      <c r="C31" s="15" t="s">
        <v>22</v>
      </c>
      <c r="E31" s="15"/>
      <c r="F31" s="14"/>
      <c r="G31" s="15"/>
    </row>
    <row r="32" spans="1:7" ht="14.25" x14ac:dyDescent="0.2">
      <c r="E32" s="15"/>
      <c r="F32" s="14"/>
      <c r="G32" s="1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761"/>
  <sheetViews>
    <sheetView workbookViewId="0">
      <pane ySplit="1" topLeftCell="A7" activePane="bottomLeft" state="frozen"/>
      <selection pane="bottomLeft" activeCell="A413" sqref="A413"/>
    </sheetView>
  </sheetViews>
  <sheetFormatPr defaultRowHeight="12.75" x14ac:dyDescent="0.2"/>
  <cols>
    <col min="1" max="1" width="11" style="11" bestFit="1" customWidth="1"/>
    <col min="2" max="2" width="11.42578125" style="11" bestFit="1" customWidth="1"/>
    <col min="3" max="3" width="19.7109375" style="11" bestFit="1" customWidth="1"/>
    <col min="4" max="4" width="18.5703125" style="11" bestFit="1" customWidth="1"/>
    <col min="5" max="5" width="42.140625" style="11" bestFit="1" customWidth="1"/>
    <col min="6" max="7" width="19.7109375" style="11" bestFit="1" customWidth="1"/>
    <col min="8" max="8" width="7.140625" style="11" bestFit="1" customWidth="1"/>
    <col min="9" max="9" width="5.140625" style="11" customWidth="1"/>
    <col min="10" max="12" width="19.28515625" style="11" customWidth="1"/>
    <col min="13" max="256" width="48.7109375" style="11" customWidth="1"/>
    <col min="257" max="16384" width="9.140625" style="11"/>
  </cols>
  <sheetData>
    <row r="1" spans="1:12" x14ac:dyDescent="0.2">
      <c r="A1" s="18" t="s">
        <v>0</v>
      </c>
      <c r="B1" s="18" t="s">
        <v>1</v>
      </c>
      <c r="C1" s="18" t="s">
        <v>2</v>
      </c>
      <c r="D1" s="18" t="s">
        <v>268</v>
      </c>
      <c r="E1" s="18" t="s">
        <v>267</v>
      </c>
      <c r="F1" s="18" t="s">
        <v>266</v>
      </c>
      <c r="G1" s="18" t="s">
        <v>3</v>
      </c>
      <c r="H1" s="18" t="s">
        <v>4</v>
      </c>
      <c r="J1" s="55" t="s">
        <v>334</v>
      </c>
      <c r="K1" s="56" t="s">
        <v>335</v>
      </c>
      <c r="L1" s="56" t="s">
        <v>336</v>
      </c>
    </row>
    <row r="2" spans="1:12" hidden="1" x14ac:dyDescent="0.2">
      <c r="A2" s="17" t="s">
        <v>264</v>
      </c>
      <c r="B2" s="17" t="s">
        <v>37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1">
        <v>2</v>
      </c>
      <c r="J2" s="54" t="str">
        <f t="shared" ref="J2:J65" si="0">IF(AND(A2=A3,E2="FAS.T2.ETOOLS",E3&lt;&gt;"FAS.T2.ETOOLS"),F3, "")</f>
        <v/>
      </c>
      <c r="K2" t="str">
        <f t="shared" ref="K2:K65" si="1">IF(OR(AND(A2=A1, E2="FAS.T2.ETOOLS"),AND(A2=A1, K1="FAS.T2.ETOOLS")), "FAS.T2.ETOOLS", "")</f>
        <v/>
      </c>
      <c r="L2" t="str">
        <f t="shared" ref="L2:L65" si="2">IF(AND(A2&lt;&gt;A3, E2&lt;&gt;"FAS.T2.ETOOLS", K2="FAS.T2.ETOOLS"), "NO", IF(AND(A2=A3,L3="NO"), "NO", ""))</f>
        <v/>
      </c>
    </row>
    <row r="3" spans="1:12" hidden="1" x14ac:dyDescent="0.2">
      <c r="A3" s="17" t="s">
        <v>264</v>
      </c>
      <c r="B3" s="17" t="s">
        <v>37</v>
      </c>
      <c r="C3" s="16">
        <v>42219.395428240743</v>
      </c>
      <c r="D3" s="17" t="s">
        <v>5</v>
      </c>
      <c r="E3" s="17" t="s">
        <v>213</v>
      </c>
      <c r="F3" s="16">
        <v>42219.396909722222</v>
      </c>
      <c r="G3" s="16"/>
      <c r="H3" s="16"/>
      <c r="I3" s="11">
        <v>3</v>
      </c>
      <c r="J3" s="54" t="str">
        <f t="shared" si="0"/>
        <v/>
      </c>
      <c r="K3" t="str">
        <f t="shared" si="1"/>
        <v/>
      </c>
      <c r="L3" t="str">
        <f t="shared" si="2"/>
        <v/>
      </c>
    </row>
    <row r="4" spans="1:12" hidden="1" x14ac:dyDescent="0.2">
      <c r="A4" s="17" t="s">
        <v>263</v>
      </c>
      <c r="B4" s="17" t="s">
        <v>37</v>
      </c>
      <c r="C4" s="16">
        <v>42340.497453703705</v>
      </c>
      <c r="D4" s="17" t="s">
        <v>5</v>
      </c>
      <c r="E4" s="17" t="s">
        <v>40</v>
      </c>
      <c r="F4" s="16">
        <v>42340.508483796293</v>
      </c>
      <c r="G4" s="16"/>
      <c r="H4" s="16"/>
      <c r="I4" s="11">
        <v>5</v>
      </c>
      <c r="J4" s="54" t="str">
        <f t="shared" si="0"/>
        <v/>
      </c>
      <c r="K4" t="str">
        <f t="shared" si="1"/>
        <v/>
      </c>
      <c r="L4" t="str">
        <f t="shared" si="2"/>
        <v/>
      </c>
    </row>
    <row r="5" spans="1:12" hidden="1" x14ac:dyDescent="0.2">
      <c r="A5" s="17" t="s">
        <v>263</v>
      </c>
      <c r="B5" s="17" t="s">
        <v>37</v>
      </c>
      <c r="C5" s="16">
        <v>42340.497453703705</v>
      </c>
      <c r="D5" s="17" t="s">
        <v>5</v>
      </c>
      <c r="E5" s="17" t="s">
        <v>36</v>
      </c>
      <c r="F5" s="16">
        <v>42340.508831018517</v>
      </c>
      <c r="G5" s="16"/>
      <c r="H5" s="16"/>
      <c r="I5" s="11">
        <v>6</v>
      </c>
      <c r="J5" s="54" t="str">
        <f t="shared" si="0"/>
        <v/>
      </c>
      <c r="K5" t="str">
        <f t="shared" si="1"/>
        <v/>
      </c>
      <c r="L5" t="str">
        <f t="shared" si="2"/>
        <v/>
      </c>
    </row>
    <row r="6" spans="1:12" hidden="1" x14ac:dyDescent="0.2">
      <c r="A6" s="17" t="s">
        <v>263</v>
      </c>
      <c r="B6" s="17" t="s">
        <v>37</v>
      </c>
      <c r="C6" s="16">
        <v>42340.497453703705</v>
      </c>
      <c r="D6" s="17" t="s">
        <v>5</v>
      </c>
      <c r="E6" s="17" t="s">
        <v>51</v>
      </c>
      <c r="F6" s="16">
        <v>42340.524641203701</v>
      </c>
      <c r="G6" s="16"/>
      <c r="H6" s="16"/>
      <c r="I6" s="11">
        <v>7</v>
      </c>
      <c r="J6" s="54" t="str">
        <f t="shared" si="0"/>
        <v/>
      </c>
      <c r="K6" t="str">
        <f t="shared" si="1"/>
        <v/>
      </c>
      <c r="L6" t="str">
        <f t="shared" si="2"/>
        <v/>
      </c>
    </row>
    <row r="7" spans="1:12" hidden="1" x14ac:dyDescent="0.2">
      <c r="A7" s="17" t="s">
        <v>262</v>
      </c>
      <c r="B7" s="17" t="s">
        <v>37</v>
      </c>
      <c r="C7" s="16">
        <v>42352.477118055554</v>
      </c>
      <c r="D7" s="17" t="s">
        <v>5</v>
      </c>
      <c r="E7" s="17" t="s">
        <v>40</v>
      </c>
      <c r="F7" s="16">
        <v>42352.477175925924</v>
      </c>
      <c r="G7" s="16"/>
      <c r="H7" s="16"/>
      <c r="I7" s="11">
        <v>8</v>
      </c>
      <c r="J7" s="54" t="str">
        <f t="shared" si="0"/>
        <v/>
      </c>
      <c r="K7" t="str">
        <f t="shared" si="1"/>
        <v/>
      </c>
      <c r="L7" t="str">
        <f t="shared" si="2"/>
        <v>NO</v>
      </c>
    </row>
    <row r="8" spans="1:12" hidden="1" x14ac:dyDescent="0.2">
      <c r="A8" s="17" t="s">
        <v>262</v>
      </c>
      <c r="B8" s="17" t="s">
        <v>37</v>
      </c>
      <c r="C8" s="16">
        <v>42352.477118055554</v>
      </c>
      <c r="D8" s="17" t="s">
        <v>5</v>
      </c>
      <c r="E8" s="17" t="s">
        <v>46</v>
      </c>
      <c r="F8" s="16">
        <v>42352.482245370367</v>
      </c>
      <c r="G8" s="16"/>
      <c r="H8" s="16"/>
      <c r="I8" s="11">
        <v>9</v>
      </c>
      <c r="J8" s="54">
        <f t="shared" si="0"/>
        <v>42352.493090277778</v>
      </c>
      <c r="K8" t="str">
        <f t="shared" si="1"/>
        <v>FAS.T2.ETOOLS</v>
      </c>
      <c r="L8" t="str">
        <f t="shared" si="2"/>
        <v>NO</v>
      </c>
    </row>
    <row r="9" spans="1:12" hidden="1" x14ac:dyDescent="0.2">
      <c r="A9" s="17" t="s">
        <v>262</v>
      </c>
      <c r="B9" s="17" t="s">
        <v>37</v>
      </c>
      <c r="C9" s="16">
        <v>42352.477118055554</v>
      </c>
      <c r="D9" s="17" t="s">
        <v>5</v>
      </c>
      <c r="E9" s="17" t="s">
        <v>36</v>
      </c>
      <c r="F9" s="16">
        <v>42352.493090277778</v>
      </c>
      <c r="G9" s="16"/>
      <c r="H9" s="16"/>
      <c r="I9" s="11">
        <v>10</v>
      </c>
      <c r="J9" s="54" t="str">
        <f t="shared" si="0"/>
        <v/>
      </c>
      <c r="K9" t="str">
        <f t="shared" si="1"/>
        <v>FAS.T2.ETOOLS</v>
      </c>
      <c r="L9" t="str">
        <f t="shared" si="2"/>
        <v>NO</v>
      </c>
    </row>
    <row r="10" spans="1:12" hidden="1" x14ac:dyDescent="0.2">
      <c r="A10" s="17" t="s">
        <v>262</v>
      </c>
      <c r="B10" s="17" t="s">
        <v>37</v>
      </c>
      <c r="C10" s="16">
        <v>42352.477118055554</v>
      </c>
      <c r="D10" s="17" t="s">
        <v>5</v>
      </c>
      <c r="E10" s="17" t="s">
        <v>51</v>
      </c>
      <c r="F10" s="16">
        <v>42352.50984953704</v>
      </c>
      <c r="G10" s="16"/>
      <c r="H10" s="16"/>
      <c r="I10" s="11">
        <v>12</v>
      </c>
      <c r="J10" s="54" t="str">
        <f t="shared" si="0"/>
        <v/>
      </c>
      <c r="K10" t="str">
        <f t="shared" si="1"/>
        <v>FAS.T2.ETOOLS</v>
      </c>
      <c r="L10" t="str">
        <f t="shared" si="2"/>
        <v>NO</v>
      </c>
    </row>
    <row r="11" spans="1:12" hidden="1" x14ac:dyDescent="0.2">
      <c r="A11" s="17" t="s">
        <v>261</v>
      </c>
      <c r="B11" s="17" t="s">
        <v>65</v>
      </c>
      <c r="C11" s="16">
        <v>42377.266238425924</v>
      </c>
      <c r="D11" s="17" t="s">
        <v>5</v>
      </c>
      <c r="E11" s="17" t="s">
        <v>40</v>
      </c>
      <c r="F11" s="16">
        <v>42377.266261574077</v>
      </c>
      <c r="G11" s="16"/>
      <c r="H11" s="16"/>
      <c r="I11" s="11">
        <v>13</v>
      </c>
      <c r="J11" s="54" t="str">
        <f t="shared" si="0"/>
        <v/>
      </c>
      <c r="K11" t="str">
        <f t="shared" si="1"/>
        <v/>
      </c>
      <c r="L11" t="str">
        <f t="shared" si="2"/>
        <v>NO</v>
      </c>
    </row>
    <row r="12" spans="1:12" hidden="1" x14ac:dyDescent="0.2">
      <c r="A12" s="17" t="s">
        <v>261</v>
      </c>
      <c r="B12" s="17" t="s">
        <v>65</v>
      </c>
      <c r="C12" s="16">
        <v>42377.266238425924</v>
      </c>
      <c r="D12" s="17" t="s">
        <v>5</v>
      </c>
      <c r="E12" s="17" t="s">
        <v>46</v>
      </c>
      <c r="F12" s="16">
        <v>42377.269282407404</v>
      </c>
      <c r="G12" s="16"/>
      <c r="H12" s="16"/>
      <c r="I12" s="11">
        <v>14</v>
      </c>
      <c r="J12" s="54">
        <f t="shared" si="0"/>
        <v>42377.366122685184</v>
      </c>
      <c r="K12" t="str">
        <f t="shared" si="1"/>
        <v>FAS.T2.ETOOLS</v>
      </c>
      <c r="L12" t="str">
        <f t="shared" si="2"/>
        <v>NO</v>
      </c>
    </row>
    <row r="13" spans="1:12" hidden="1" x14ac:dyDescent="0.2">
      <c r="A13" s="17" t="s">
        <v>261</v>
      </c>
      <c r="B13" s="17" t="s">
        <v>65</v>
      </c>
      <c r="C13" s="16">
        <v>42377.266238425924</v>
      </c>
      <c r="D13" s="17" t="s">
        <v>5</v>
      </c>
      <c r="E13" s="17" t="s">
        <v>51</v>
      </c>
      <c r="F13" s="16">
        <v>42377.366122685184</v>
      </c>
      <c r="G13" s="16"/>
      <c r="H13" s="16"/>
      <c r="I13" s="11">
        <v>15</v>
      </c>
      <c r="J13" s="54" t="str">
        <f t="shared" si="0"/>
        <v/>
      </c>
      <c r="K13" t="str">
        <f t="shared" si="1"/>
        <v>FAS.T2.ETOOLS</v>
      </c>
      <c r="L13" t="str">
        <f t="shared" si="2"/>
        <v>NO</v>
      </c>
    </row>
    <row r="14" spans="1:12" hidden="1" x14ac:dyDescent="0.2">
      <c r="A14" s="17" t="s">
        <v>260</v>
      </c>
      <c r="B14" s="17" t="s">
        <v>37</v>
      </c>
      <c r="C14" s="16">
        <v>42396.450509259259</v>
      </c>
      <c r="D14" s="17" t="s">
        <v>5</v>
      </c>
      <c r="E14" s="17" t="s">
        <v>40</v>
      </c>
      <c r="F14" s="16">
        <v>42396.450543981482</v>
      </c>
      <c r="G14" s="16"/>
      <c r="H14" s="16"/>
      <c r="I14" s="11">
        <v>16</v>
      </c>
      <c r="J14" s="54" t="str">
        <f t="shared" si="0"/>
        <v/>
      </c>
      <c r="K14" t="str">
        <f t="shared" si="1"/>
        <v/>
      </c>
      <c r="L14" t="str">
        <f t="shared" si="2"/>
        <v>NO</v>
      </c>
    </row>
    <row r="15" spans="1:12" hidden="1" x14ac:dyDescent="0.2">
      <c r="A15" s="17" t="s">
        <v>260</v>
      </c>
      <c r="B15" s="17" t="s">
        <v>37</v>
      </c>
      <c r="C15" s="16">
        <v>42396.450509259259</v>
      </c>
      <c r="D15" s="17" t="s">
        <v>5</v>
      </c>
      <c r="E15" s="17" t="s">
        <v>36</v>
      </c>
      <c r="F15" s="16">
        <v>42396.450960648152</v>
      </c>
      <c r="G15" s="16"/>
      <c r="H15" s="16"/>
      <c r="I15" s="11">
        <v>17</v>
      </c>
      <c r="J15" s="54" t="str">
        <f t="shared" si="0"/>
        <v/>
      </c>
      <c r="K15" t="str">
        <f t="shared" si="1"/>
        <v/>
      </c>
      <c r="L15" t="str">
        <f t="shared" si="2"/>
        <v>NO</v>
      </c>
    </row>
    <row r="16" spans="1:12" hidden="1" x14ac:dyDescent="0.2">
      <c r="A16" s="17" t="s">
        <v>260</v>
      </c>
      <c r="B16" s="17" t="s">
        <v>37</v>
      </c>
      <c r="C16" s="16">
        <v>42396.450509259259</v>
      </c>
      <c r="D16" s="17" t="s">
        <v>5</v>
      </c>
      <c r="E16" s="17" t="s">
        <v>46</v>
      </c>
      <c r="F16" s="16">
        <v>42396.459768518522</v>
      </c>
      <c r="G16" s="16"/>
      <c r="H16" s="16"/>
      <c r="I16" s="11">
        <v>18</v>
      </c>
      <c r="J16" s="54">
        <f t="shared" si="0"/>
        <v>42396.461851851855</v>
      </c>
      <c r="K16" t="str">
        <f t="shared" si="1"/>
        <v>FAS.T2.ETOOLS</v>
      </c>
      <c r="L16" t="str">
        <f t="shared" si="2"/>
        <v>NO</v>
      </c>
    </row>
    <row r="17" spans="1:12" hidden="1" x14ac:dyDescent="0.2">
      <c r="A17" s="17" t="s">
        <v>260</v>
      </c>
      <c r="B17" s="17" t="s">
        <v>37</v>
      </c>
      <c r="C17" s="16">
        <v>42396.450509259259</v>
      </c>
      <c r="D17" s="17" t="s">
        <v>5</v>
      </c>
      <c r="E17" s="17" t="s">
        <v>51</v>
      </c>
      <c r="F17" s="16">
        <v>42396.461851851855</v>
      </c>
      <c r="G17" s="16"/>
      <c r="H17" s="16"/>
      <c r="I17" s="11">
        <v>19</v>
      </c>
      <c r="J17" s="54" t="str">
        <f t="shared" si="0"/>
        <v/>
      </c>
      <c r="K17" t="str">
        <f t="shared" si="1"/>
        <v>FAS.T2.ETOOLS</v>
      </c>
      <c r="L17" t="str">
        <f t="shared" si="2"/>
        <v>NO</v>
      </c>
    </row>
    <row r="18" spans="1:12" hidden="1" x14ac:dyDescent="0.2">
      <c r="A18" s="17" t="s">
        <v>258</v>
      </c>
      <c r="B18" s="17" t="s">
        <v>37</v>
      </c>
      <c r="C18" s="16">
        <v>42406.554097222222</v>
      </c>
      <c r="D18" s="17" t="s">
        <v>5</v>
      </c>
      <c r="E18" s="17" t="s">
        <v>40</v>
      </c>
      <c r="F18" s="16">
        <v>42406.554143518515</v>
      </c>
      <c r="G18" s="16">
        <v>42406.556539351855</v>
      </c>
      <c r="H18" s="16"/>
      <c r="I18" s="11">
        <v>20</v>
      </c>
      <c r="J18" s="54" t="str">
        <f t="shared" si="0"/>
        <v/>
      </c>
      <c r="K18" t="str">
        <f t="shared" si="1"/>
        <v/>
      </c>
      <c r="L18" t="str">
        <f t="shared" si="2"/>
        <v>NO</v>
      </c>
    </row>
    <row r="19" spans="1:12" hidden="1" x14ac:dyDescent="0.2">
      <c r="A19" s="17" t="s">
        <v>258</v>
      </c>
      <c r="B19" s="17" t="s">
        <v>37</v>
      </c>
      <c r="C19" s="16">
        <v>42406.554097222222</v>
      </c>
      <c r="D19" s="17" t="s">
        <v>5</v>
      </c>
      <c r="E19" s="17" t="s">
        <v>90</v>
      </c>
      <c r="F19" s="16">
        <v>42406.556585648148</v>
      </c>
      <c r="G19" s="16">
        <v>42406.556539351855</v>
      </c>
      <c r="H19" s="16"/>
      <c r="I19" s="11">
        <v>21</v>
      </c>
      <c r="J19" s="54" t="str">
        <f t="shared" si="0"/>
        <v/>
      </c>
      <c r="K19" t="str">
        <f t="shared" si="1"/>
        <v/>
      </c>
      <c r="L19" t="str">
        <f t="shared" si="2"/>
        <v>NO</v>
      </c>
    </row>
    <row r="20" spans="1:12" hidden="1" x14ac:dyDescent="0.2">
      <c r="A20" s="17" t="s">
        <v>258</v>
      </c>
      <c r="B20" s="17" t="s">
        <v>37</v>
      </c>
      <c r="C20" s="16">
        <v>42406.554097222222</v>
      </c>
      <c r="D20" s="17" t="s">
        <v>5</v>
      </c>
      <c r="E20" s="17" t="s">
        <v>46</v>
      </c>
      <c r="F20" s="16">
        <v>42406.587685185186</v>
      </c>
      <c r="G20" s="16">
        <v>42406.556539351855</v>
      </c>
      <c r="H20" s="16"/>
      <c r="I20" s="11">
        <v>23</v>
      </c>
      <c r="J20" s="54">
        <f t="shared" si="0"/>
        <v>42408.403912037036</v>
      </c>
      <c r="K20" t="str">
        <f t="shared" si="1"/>
        <v>FAS.T2.ETOOLS</v>
      </c>
      <c r="L20" t="str">
        <f t="shared" si="2"/>
        <v>NO</v>
      </c>
    </row>
    <row r="21" spans="1:12" hidden="1" x14ac:dyDescent="0.2">
      <c r="A21" s="17" t="s">
        <v>258</v>
      </c>
      <c r="B21" s="17" t="s">
        <v>37</v>
      </c>
      <c r="C21" s="16">
        <v>42406.554097222222</v>
      </c>
      <c r="D21" s="17" t="s">
        <v>5</v>
      </c>
      <c r="E21" s="17" t="s">
        <v>51</v>
      </c>
      <c r="F21" s="16">
        <v>42408.403912037036</v>
      </c>
      <c r="G21" s="16">
        <v>42406.556539351855</v>
      </c>
      <c r="H21" s="16"/>
      <c r="I21" s="11">
        <v>24</v>
      </c>
      <c r="J21" s="54" t="str">
        <f t="shared" si="0"/>
        <v/>
      </c>
      <c r="K21" t="str">
        <f t="shared" si="1"/>
        <v>FAS.T2.ETOOLS</v>
      </c>
      <c r="L21" t="str">
        <f t="shared" si="2"/>
        <v>NO</v>
      </c>
    </row>
    <row r="22" spans="1:12" hidden="1" x14ac:dyDescent="0.2">
      <c r="A22" s="17" t="s">
        <v>257</v>
      </c>
      <c r="B22" s="17" t="s">
        <v>37</v>
      </c>
      <c r="C22" s="16">
        <v>42431.108217592591</v>
      </c>
      <c r="D22" s="17" t="s">
        <v>5</v>
      </c>
      <c r="E22" s="17" t="s">
        <v>40</v>
      </c>
      <c r="F22" s="16">
        <v>42431.108229166668</v>
      </c>
      <c r="G22" s="16"/>
      <c r="H22" s="16"/>
      <c r="I22" s="11">
        <v>25</v>
      </c>
      <c r="J22" s="54" t="str">
        <f t="shared" si="0"/>
        <v/>
      </c>
      <c r="K22" t="str">
        <f t="shared" si="1"/>
        <v/>
      </c>
      <c r="L22" t="str">
        <f t="shared" si="2"/>
        <v>NO</v>
      </c>
    </row>
    <row r="23" spans="1:12" hidden="1" x14ac:dyDescent="0.2">
      <c r="A23" s="17" t="s">
        <v>257</v>
      </c>
      <c r="B23" s="17" t="s">
        <v>37</v>
      </c>
      <c r="C23" s="16">
        <v>42431.108217592591</v>
      </c>
      <c r="D23" s="17" t="s">
        <v>5</v>
      </c>
      <c r="E23" s="17" t="s">
        <v>36</v>
      </c>
      <c r="F23" s="16">
        <v>42431.114363425928</v>
      </c>
      <c r="G23" s="16"/>
      <c r="H23" s="16"/>
      <c r="I23" s="11">
        <v>26</v>
      </c>
      <c r="J23" s="54" t="str">
        <f t="shared" si="0"/>
        <v/>
      </c>
      <c r="K23" t="str">
        <f t="shared" si="1"/>
        <v/>
      </c>
      <c r="L23" t="str">
        <f t="shared" si="2"/>
        <v>NO</v>
      </c>
    </row>
    <row r="24" spans="1:12" hidden="1" x14ac:dyDescent="0.2">
      <c r="A24" s="17" t="s">
        <v>257</v>
      </c>
      <c r="B24" s="17" t="s">
        <v>37</v>
      </c>
      <c r="C24" s="16">
        <v>42431.108217592591</v>
      </c>
      <c r="D24" s="17" t="s">
        <v>5</v>
      </c>
      <c r="E24" s="17" t="s">
        <v>46</v>
      </c>
      <c r="F24" s="16">
        <v>42431.445856481485</v>
      </c>
      <c r="G24" s="16"/>
      <c r="H24" s="16"/>
      <c r="I24" s="11">
        <v>27</v>
      </c>
      <c r="J24" s="54">
        <f t="shared" si="0"/>
        <v>42431.494143518517</v>
      </c>
      <c r="K24" t="str">
        <f t="shared" si="1"/>
        <v>FAS.T2.ETOOLS</v>
      </c>
      <c r="L24" t="str">
        <f t="shared" si="2"/>
        <v>NO</v>
      </c>
    </row>
    <row r="25" spans="1:12" hidden="1" x14ac:dyDescent="0.2">
      <c r="A25" s="17" t="s">
        <v>257</v>
      </c>
      <c r="B25" s="17" t="s">
        <v>37</v>
      </c>
      <c r="C25" s="16">
        <v>42431.108217592591</v>
      </c>
      <c r="D25" s="17" t="s">
        <v>5</v>
      </c>
      <c r="E25" s="17" t="s">
        <v>51</v>
      </c>
      <c r="F25" s="16">
        <v>42431.494143518517</v>
      </c>
      <c r="G25" s="16"/>
      <c r="H25" s="16"/>
      <c r="I25" s="11">
        <v>28</v>
      </c>
      <c r="J25" s="54" t="str">
        <f t="shared" si="0"/>
        <v/>
      </c>
      <c r="K25" t="str">
        <f t="shared" si="1"/>
        <v>FAS.T2.ETOOLS</v>
      </c>
      <c r="L25" t="str">
        <f t="shared" si="2"/>
        <v>NO</v>
      </c>
    </row>
    <row r="26" spans="1:12" hidden="1" x14ac:dyDescent="0.2">
      <c r="A26" s="17" t="s">
        <v>256</v>
      </c>
      <c r="B26" s="17" t="s">
        <v>37</v>
      </c>
      <c r="C26" s="16">
        <v>42445.057893518519</v>
      </c>
      <c r="D26" s="17" t="s">
        <v>5</v>
      </c>
      <c r="E26" s="17" t="s">
        <v>40</v>
      </c>
      <c r="F26" s="16">
        <v>42445.057928240742</v>
      </c>
      <c r="G26" s="16"/>
      <c r="H26" s="16"/>
      <c r="I26" s="11">
        <v>29</v>
      </c>
      <c r="J26" s="54" t="str">
        <f t="shared" si="0"/>
        <v/>
      </c>
      <c r="K26" t="str">
        <f t="shared" si="1"/>
        <v/>
      </c>
      <c r="L26" t="str">
        <f t="shared" si="2"/>
        <v>NO</v>
      </c>
    </row>
    <row r="27" spans="1:12" hidden="1" x14ac:dyDescent="0.2">
      <c r="A27" s="17" t="s">
        <v>256</v>
      </c>
      <c r="B27" s="17" t="s">
        <v>37</v>
      </c>
      <c r="C27" s="16">
        <v>42445.057893518519</v>
      </c>
      <c r="D27" s="17" t="s">
        <v>5</v>
      </c>
      <c r="E27" s="17" t="s">
        <v>46</v>
      </c>
      <c r="F27" s="16">
        <v>42445.097025462965</v>
      </c>
      <c r="G27" s="16"/>
      <c r="H27" s="16"/>
      <c r="I27" s="11">
        <v>30</v>
      </c>
      <c r="J27" s="54">
        <f t="shared" si="0"/>
        <v>42445.373263888891</v>
      </c>
      <c r="K27" t="str">
        <f t="shared" si="1"/>
        <v>FAS.T2.ETOOLS</v>
      </c>
      <c r="L27" t="str">
        <f t="shared" si="2"/>
        <v>NO</v>
      </c>
    </row>
    <row r="28" spans="1:12" hidden="1" x14ac:dyDescent="0.2">
      <c r="A28" s="17" t="s">
        <v>256</v>
      </c>
      <c r="B28" s="17" t="s">
        <v>37</v>
      </c>
      <c r="C28" s="16">
        <v>42445.057893518519</v>
      </c>
      <c r="D28" s="17" t="s">
        <v>5</v>
      </c>
      <c r="E28" s="17" t="s">
        <v>51</v>
      </c>
      <c r="F28" s="16">
        <v>42445.373263888891</v>
      </c>
      <c r="G28" s="16"/>
      <c r="H28" s="16"/>
      <c r="I28" s="11">
        <v>31</v>
      </c>
      <c r="J28" s="54" t="str">
        <f t="shared" si="0"/>
        <v/>
      </c>
      <c r="K28" t="str">
        <f t="shared" si="1"/>
        <v>FAS.T2.ETOOLS</v>
      </c>
      <c r="L28" t="str">
        <f t="shared" si="2"/>
        <v>NO</v>
      </c>
    </row>
    <row r="29" spans="1:12" hidden="1" x14ac:dyDescent="0.2">
      <c r="A29" s="17" t="s">
        <v>255</v>
      </c>
      <c r="B29" s="17" t="s">
        <v>37</v>
      </c>
      <c r="C29" s="16">
        <v>42457.586909722224</v>
      </c>
      <c r="D29" s="17" t="s">
        <v>5</v>
      </c>
      <c r="E29" s="17" t="s">
        <v>40</v>
      </c>
      <c r="F29" s="16">
        <v>42457.587025462963</v>
      </c>
      <c r="G29" s="16"/>
      <c r="H29" s="16"/>
      <c r="I29" s="11">
        <v>32</v>
      </c>
      <c r="J29" s="54" t="str">
        <f t="shared" si="0"/>
        <v/>
      </c>
      <c r="K29" t="str">
        <f t="shared" si="1"/>
        <v/>
      </c>
      <c r="L29" t="str">
        <f t="shared" si="2"/>
        <v/>
      </c>
    </row>
    <row r="30" spans="1:12" hidden="1" x14ac:dyDescent="0.2">
      <c r="A30" s="17" t="s">
        <v>255</v>
      </c>
      <c r="B30" s="17" t="s">
        <v>37</v>
      </c>
      <c r="C30" s="16">
        <v>42457.586909722224</v>
      </c>
      <c r="D30" s="17" t="s">
        <v>5</v>
      </c>
      <c r="E30" s="17" t="s">
        <v>36</v>
      </c>
      <c r="F30" s="16">
        <v>42457.587581018517</v>
      </c>
      <c r="G30" s="16"/>
      <c r="H30" s="16"/>
      <c r="I30" s="11">
        <v>33</v>
      </c>
      <c r="J30" s="54" t="str">
        <f t="shared" si="0"/>
        <v/>
      </c>
      <c r="K30" t="str">
        <f t="shared" si="1"/>
        <v/>
      </c>
      <c r="L30" t="str">
        <f t="shared" si="2"/>
        <v/>
      </c>
    </row>
    <row r="31" spans="1:12" hidden="1" x14ac:dyDescent="0.2">
      <c r="A31" s="17" t="s">
        <v>255</v>
      </c>
      <c r="B31" s="17" t="s">
        <v>37</v>
      </c>
      <c r="C31" s="16">
        <v>42457.586909722224</v>
      </c>
      <c r="D31" s="17" t="s">
        <v>5</v>
      </c>
      <c r="E31" s="17" t="s">
        <v>51</v>
      </c>
      <c r="F31" s="16">
        <v>42457.622604166667</v>
      </c>
      <c r="G31" s="16"/>
      <c r="H31" s="16"/>
      <c r="I31" s="11">
        <v>34</v>
      </c>
      <c r="J31" s="54" t="str">
        <f t="shared" si="0"/>
        <v/>
      </c>
      <c r="K31" t="str">
        <f t="shared" si="1"/>
        <v/>
      </c>
      <c r="L31" t="str">
        <f t="shared" si="2"/>
        <v/>
      </c>
    </row>
    <row r="32" spans="1:12" hidden="1" x14ac:dyDescent="0.2">
      <c r="A32" s="17" t="s">
        <v>254</v>
      </c>
      <c r="B32" s="17" t="s">
        <v>37</v>
      </c>
      <c r="C32" s="16">
        <v>42457.621331018519</v>
      </c>
      <c r="D32" s="17" t="s">
        <v>5</v>
      </c>
      <c r="E32" s="17" t="s">
        <v>40</v>
      </c>
      <c r="F32" s="16">
        <v>42457.621435185189</v>
      </c>
      <c r="G32" s="16"/>
      <c r="H32" s="16"/>
      <c r="I32" s="11">
        <v>35</v>
      </c>
      <c r="J32" s="54" t="str">
        <f t="shared" si="0"/>
        <v/>
      </c>
      <c r="K32" t="str">
        <f t="shared" si="1"/>
        <v/>
      </c>
      <c r="L32" t="str">
        <f t="shared" si="2"/>
        <v/>
      </c>
    </row>
    <row r="33" spans="1:12" hidden="1" x14ac:dyDescent="0.2">
      <c r="A33" s="17" t="s">
        <v>254</v>
      </c>
      <c r="B33" s="17" t="s">
        <v>37</v>
      </c>
      <c r="C33" s="16">
        <v>42457.621331018519</v>
      </c>
      <c r="D33" s="17" t="s">
        <v>5</v>
      </c>
      <c r="E33" s="17" t="s">
        <v>51</v>
      </c>
      <c r="F33" s="16">
        <v>42457.622094907405</v>
      </c>
      <c r="G33" s="16"/>
      <c r="H33" s="16"/>
      <c r="I33" s="11">
        <v>36</v>
      </c>
      <c r="J33" s="54" t="str">
        <f t="shared" si="0"/>
        <v/>
      </c>
      <c r="K33" t="str">
        <f t="shared" si="1"/>
        <v/>
      </c>
      <c r="L33" t="str">
        <f t="shared" si="2"/>
        <v/>
      </c>
    </row>
    <row r="34" spans="1:12" hidden="1" x14ac:dyDescent="0.2">
      <c r="A34" s="17" t="s">
        <v>253</v>
      </c>
      <c r="B34" s="17" t="s">
        <v>37</v>
      </c>
      <c r="C34" s="16">
        <v>42457.623055555552</v>
      </c>
      <c r="D34" s="17" t="s">
        <v>5</v>
      </c>
      <c r="E34" s="17" t="s">
        <v>40</v>
      </c>
      <c r="F34" s="16">
        <v>42457.623136574075</v>
      </c>
      <c r="G34" s="16"/>
      <c r="H34" s="16"/>
      <c r="I34" s="11">
        <v>37</v>
      </c>
      <c r="J34" s="54" t="str">
        <f t="shared" si="0"/>
        <v/>
      </c>
      <c r="K34" t="str">
        <f t="shared" si="1"/>
        <v/>
      </c>
      <c r="L34" t="str">
        <f t="shared" si="2"/>
        <v/>
      </c>
    </row>
    <row r="35" spans="1:12" hidden="1" x14ac:dyDescent="0.2">
      <c r="A35" s="17" t="s">
        <v>253</v>
      </c>
      <c r="B35" s="17" t="s">
        <v>37</v>
      </c>
      <c r="C35" s="16">
        <v>42457.623055555552</v>
      </c>
      <c r="D35" s="17" t="s">
        <v>5</v>
      </c>
      <c r="E35" s="17" t="s">
        <v>51</v>
      </c>
      <c r="F35" s="16">
        <v>42457.623483796298</v>
      </c>
      <c r="G35" s="16"/>
      <c r="H35" s="16"/>
      <c r="I35" s="11">
        <v>38</v>
      </c>
      <c r="J35" s="54" t="str">
        <f t="shared" si="0"/>
        <v/>
      </c>
      <c r="K35" t="str">
        <f t="shared" si="1"/>
        <v/>
      </c>
      <c r="L35" t="str">
        <f t="shared" si="2"/>
        <v/>
      </c>
    </row>
    <row r="36" spans="1:12" hidden="1" x14ac:dyDescent="0.2">
      <c r="A36" s="17" t="s">
        <v>252</v>
      </c>
      <c r="B36" s="17" t="s">
        <v>37</v>
      </c>
      <c r="C36" s="16">
        <v>42460.482511574075</v>
      </c>
      <c r="D36" s="17" t="s">
        <v>5</v>
      </c>
      <c r="E36" s="17" t="s">
        <v>40</v>
      </c>
      <c r="F36" s="16">
        <v>42460.482523148145</v>
      </c>
      <c r="G36" s="16"/>
      <c r="H36" s="16"/>
      <c r="I36" s="11">
        <v>39</v>
      </c>
      <c r="J36" s="54" t="str">
        <f t="shared" si="0"/>
        <v/>
      </c>
      <c r="K36" t="str">
        <f t="shared" si="1"/>
        <v/>
      </c>
      <c r="L36" t="str">
        <f t="shared" si="2"/>
        <v/>
      </c>
    </row>
    <row r="37" spans="1:12" hidden="1" x14ac:dyDescent="0.2">
      <c r="A37" s="17" t="s">
        <v>252</v>
      </c>
      <c r="B37" s="17" t="s">
        <v>37</v>
      </c>
      <c r="C37" s="16">
        <v>42460.482511574075</v>
      </c>
      <c r="D37" s="17" t="s">
        <v>5</v>
      </c>
      <c r="E37" s="17" t="s">
        <v>51</v>
      </c>
      <c r="F37" s="16">
        <v>42460.490219907406</v>
      </c>
      <c r="G37" s="16"/>
      <c r="H37" s="16"/>
      <c r="I37" s="11">
        <v>40</v>
      </c>
      <c r="J37" s="54" t="str">
        <f t="shared" si="0"/>
        <v/>
      </c>
      <c r="K37" t="str">
        <f t="shared" si="1"/>
        <v/>
      </c>
      <c r="L37" t="str">
        <f t="shared" si="2"/>
        <v/>
      </c>
    </row>
    <row r="38" spans="1:12" hidden="1" x14ac:dyDescent="0.2">
      <c r="A38" s="17" t="s">
        <v>251</v>
      </c>
      <c r="B38" s="17" t="s">
        <v>37</v>
      </c>
      <c r="C38" s="16">
        <v>42460.680868055555</v>
      </c>
      <c r="D38" s="17" t="s">
        <v>5</v>
      </c>
      <c r="E38" s="17" t="s">
        <v>40</v>
      </c>
      <c r="F38" s="16">
        <v>42460.680879629632</v>
      </c>
      <c r="G38" s="16"/>
      <c r="H38" s="16"/>
      <c r="I38" s="11">
        <v>41</v>
      </c>
      <c r="J38" s="54" t="str">
        <f t="shared" si="0"/>
        <v/>
      </c>
      <c r="K38" t="str">
        <f t="shared" si="1"/>
        <v/>
      </c>
      <c r="L38" t="str">
        <f t="shared" si="2"/>
        <v/>
      </c>
    </row>
    <row r="39" spans="1:12" hidden="1" x14ac:dyDescent="0.2">
      <c r="A39" s="17" t="s">
        <v>251</v>
      </c>
      <c r="B39" s="17" t="s">
        <v>37</v>
      </c>
      <c r="C39" s="16">
        <v>42460.680868055555</v>
      </c>
      <c r="D39" s="17" t="s">
        <v>5</v>
      </c>
      <c r="E39" s="17" t="s">
        <v>51</v>
      </c>
      <c r="F39" s="16">
        <v>42460.692789351851</v>
      </c>
      <c r="G39" s="16"/>
      <c r="H39" s="16"/>
      <c r="I39" s="11">
        <v>42</v>
      </c>
      <c r="J39" s="54" t="str">
        <f t="shared" si="0"/>
        <v/>
      </c>
      <c r="K39" t="str">
        <f t="shared" si="1"/>
        <v/>
      </c>
      <c r="L39" t="str">
        <f t="shared" si="2"/>
        <v/>
      </c>
    </row>
    <row r="40" spans="1:12" hidden="1" x14ac:dyDescent="0.2">
      <c r="A40" s="17" t="s">
        <v>250</v>
      </c>
      <c r="B40" s="17" t="s">
        <v>37</v>
      </c>
      <c r="C40" s="16">
        <v>42468.410231481481</v>
      </c>
      <c r="D40" s="17" t="s">
        <v>5</v>
      </c>
      <c r="E40" s="17" t="s">
        <v>40</v>
      </c>
      <c r="F40" s="16">
        <v>42468.410358796296</v>
      </c>
      <c r="G40" s="16"/>
      <c r="H40" s="16"/>
      <c r="I40" s="11">
        <v>43</v>
      </c>
      <c r="J40" s="54" t="str">
        <f t="shared" si="0"/>
        <v/>
      </c>
      <c r="K40" t="str">
        <f t="shared" si="1"/>
        <v/>
      </c>
      <c r="L40" t="str">
        <f t="shared" si="2"/>
        <v>NO</v>
      </c>
    </row>
    <row r="41" spans="1:12" hidden="1" x14ac:dyDescent="0.2">
      <c r="A41" s="17" t="s">
        <v>250</v>
      </c>
      <c r="B41" s="17" t="s">
        <v>37</v>
      </c>
      <c r="C41" s="16">
        <v>42468.410231481481</v>
      </c>
      <c r="D41" s="17" t="s">
        <v>5</v>
      </c>
      <c r="E41" s="17" t="s">
        <v>46</v>
      </c>
      <c r="F41" s="16">
        <v>42468.411909722221</v>
      </c>
      <c r="G41" s="16"/>
      <c r="H41" s="16"/>
      <c r="I41" s="11">
        <v>44</v>
      </c>
      <c r="J41" s="54">
        <f t="shared" si="0"/>
        <v>42468.412951388891</v>
      </c>
      <c r="K41" t="str">
        <f t="shared" si="1"/>
        <v>FAS.T2.ETOOLS</v>
      </c>
      <c r="L41" t="str">
        <f t="shared" si="2"/>
        <v>NO</v>
      </c>
    </row>
    <row r="42" spans="1:12" hidden="1" x14ac:dyDescent="0.2">
      <c r="A42" s="17" t="s">
        <v>250</v>
      </c>
      <c r="B42" s="17" t="s">
        <v>37</v>
      </c>
      <c r="C42" s="16">
        <v>42468.410231481481</v>
      </c>
      <c r="D42" s="17" t="s">
        <v>5</v>
      </c>
      <c r="E42" s="17" t="s">
        <v>51</v>
      </c>
      <c r="F42" s="16">
        <v>42468.412951388891</v>
      </c>
      <c r="G42" s="16"/>
      <c r="H42" s="16"/>
      <c r="I42" s="11">
        <v>45</v>
      </c>
      <c r="J42" s="54" t="str">
        <f t="shared" si="0"/>
        <v/>
      </c>
      <c r="K42" t="str">
        <f t="shared" si="1"/>
        <v>FAS.T2.ETOOLS</v>
      </c>
      <c r="L42" t="str">
        <f t="shared" si="2"/>
        <v>NO</v>
      </c>
    </row>
    <row r="43" spans="1:12" hidden="1" x14ac:dyDescent="0.2">
      <c r="A43" s="17" t="s">
        <v>249</v>
      </c>
      <c r="B43" s="17" t="s">
        <v>37</v>
      </c>
      <c r="C43" s="16">
        <v>42473.513958333337</v>
      </c>
      <c r="D43" s="17" t="s">
        <v>5</v>
      </c>
      <c r="E43" s="17" t="s">
        <v>40</v>
      </c>
      <c r="F43" s="16">
        <v>42473.513981481483</v>
      </c>
      <c r="G43" s="16"/>
      <c r="H43" s="16"/>
      <c r="I43" s="11">
        <v>46</v>
      </c>
      <c r="J43" s="54" t="str">
        <f t="shared" si="0"/>
        <v/>
      </c>
      <c r="K43" t="str">
        <f t="shared" si="1"/>
        <v/>
      </c>
      <c r="L43" t="str">
        <f t="shared" si="2"/>
        <v/>
      </c>
    </row>
    <row r="44" spans="1:12" hidden="1" x14ac:dyDescent="0.2">
      <c r="A44" s="17" t="s">
        <v>249</v>
      </c>
      <c r="B44" s="17" t="s">
        <v>37</v>
      </c>
      <c r="C44" s="16">
        <v>42473.513958333337</v>
      </c>
      <c r="D44" s="17" t="s">
        <v>5</v>
      </c>
      <c r="E44" s="17" t="s">
        <v>36</v>
      </c>
      <c r="F44" s="16">
        <v>42473.514548611114</v>
      </c>
      <c r="G44" s="16"/>
      <c r="H44" s="16"/>
      <c r="I44" s="11">
        <v>47</v>
      </c>
      <c r="J44" s="54" t="str">
        <f t="shared" si="0"/>
        <v/>
      </c>
      <c r="K44" t="str">
        <f t="shared" si="1"/>
        <v/>
      </c>
      <c r="L44" t="str">
        <f t="shared" si="2"/>
        <v/>
      </c>
    </row>
    <row r="45" spans="1:12" hidden="1" x14ac:dyDescent="0.2">
      <c r="A45" s="17" t="s">
        <v>249</v>
      </c>
      <c r="B45" s="17" t="s">
        <v>37</v>
      </c>
      <c r="C45" s="16">
        <v>42473.513958333337</v>
      </c>
      <c r="D45" s="17" t="s">
        <v>5</v>
      </c>
      <c r="E45" s="17" t="s">
        <v>51</v>
      </c>
      <c r="F45" s="16">
        <v>42473.650509259256</v>
      </c>
      <c r="G45" s="16"/>
      <c r="H45" s="16"/>
      <c r="I45" s="11">
        <v>48</v>
      </c>
      <c r="J45" s="54" t="str">
        <f t="shared" si="0"/>
        <v/>
      </c>
      <c r="K45" t="str">
        <f t="shared" si="1"/>
        <v/>
      </c>
      <c r="L45" t="str">
        <f t="shared" si="2"/>
        <v/>
      </c>
    </row>
    <row r="46" spans="1:12" hidden="1" x14ac:dyDescent="0.2">
      <c r="A46" s="17" t="s">
        <v>248</v>
      </c>
      <c r="B46" s="17" t="s">
        <v>37</v>
      </c>
      <c r="C46" s="16">
        <v>42474.463877314818</v>
      </c>
      <c r="D46" s="17" t="s">
        <v>5</v>
      </c>
      <c r="E46" s="17" t="s">
        <v>40</v>
      </c>
      <c r="F46" s="16">
        <v>42474.463888888888</v>
      </c>
      <c r="G46" s="16"/>
      <c r="H46" s="16"/>
      <c r="I46" s="11">
        <v>49</v>
      </c>
      <c r="J46" s="54" t="str">
        <f t="shared" si="0"/>
        <v/>
      </c>
      <c r="K46" t="str">
        <f t="shared" si="1"/>
        <v/>
      </c>
      <c r="L46" t="str">
        <f t="shared" si="2"/>
        <v/>
      </c>
    </row>
    <row r="47" spans="1:12" hidden="1" x14ac:dyDescent="0.2">
      <c r="A47" s="17" t="s">
        <v>248</v>
      </c>
      <c r="B47" s="17" t="s">
        <v>37</v>
      </c>
      <c r="C47" s="16">
        <v>42474.463877314818</v>
      </c>
      <c r="D47" s="17" t="s">
        <v>5</v>
      </c>
      <c r="E47" s="17" t="s">
        <v>36</v>
      </c>
      <c r="F47" s="16">
        <v>42474.464363425926</v>
      </c>
      <c r="G47" s="16"/>
      <c r="H47" s="16"/>
      <c r="I47" s="11">
        <v>50</v>
      </c>
      <c r="J47" s="54" t="str">
        <f t="shared" si="0"/>
        <v/>
      </c>
      <c r="K47" t="str">
        <f t="shared" si="1"/>
        <v/>
      </c>
      <c r="L47" t="str">
        <f t="shared" si="2"/>
        <v/>
      </c>
    </row>
    <row r="48" spans="1:12" hidden="1" x14ac:dyDescent="0.2">
      <c r="A48" s="17" t="s">
        <v>248</v>
      </c>
      <c r="B48" s="17" t="s">
        <v>37</v>
      </c>
      <c r="C48" s="16">
        <v>42474.463877314818</v>
      </c>
      <c r="D48" s="17" t="s">
        <v>5</v>
      </c>
      <c r="E48" s="17" t="s">
        <v>51</v>
      </c>
      <c r="F48" s="16">
        <v>42474.4924537037</v>
      </c>
      <c r="G48" s="16"/>
      <c r="H48" s="16"/>
      <c r="I48" s="11">
        <v>51</v>
      </c>
      <c r="J48" s="54" t="str">
        <f t="shared" si="0"/>
        <v/>
      </c>
      <c r="K48" t="str">
        <f t="shared" si="1"/>
        <v/>
      </c>
      <c r="L48" t="str">
        <f t="shared" si="2"/>
        <v/>
      </c>
    </row>
    <row r="49" spans="1:12" hidden="1" x14ac:dyDescent="0.2">
      <c r="A49" s="17" t="s">
        <v>247</v>
      </c>
      <c r="B49" s="17" t="s">
        <v>37</v>
      </c>
      <c r="C49" s="16">
        <v>42474.507141203707</v>
      </c>
      <c r="D49" s="17" t="s">
        <v>5</v>
      </c>
      <c r="E49" s="17" t="s">
        <v>40</v>
      </c>
      <c r="F49" s="16">
        <v>42474.507175925923</v>
      </c>
      <c r="G49" s="16"/>
      <c r="H49" s="16"/>
      <c r="I49" s="11">
        <v>52</v>
      </c>
      <c r="J49" s="54" t="str">
        <f t="shared" si="0"/>
        <v/>
      </c>
      <c r="K49" t="str">
        <f t="shared" si="1"/>
        <v/>
      </c>
      <c r="L49" t="str">
        <f t="shared" si="2"/>
        <v/>
      </c>
    </row>
    <row r="50" spans="1:12" hidden="1" x14ac:dyDescent="0.2">
      <c r="A50" s="17" t="s">
        <v>247</v>
      </c>
      <c r="B50" s="17" t="s">
        <v>37</v>
      </c>
      <c r="C50" s="16">
        <v>42474.507141203707</v>
      </c>
      <c r="D50" s="17" t="s">
        <v>5</v>
      </c>
      <c r="E50" s="17" t="s">
        <v>51</v>
      </c>
      <c r="F50" s="16">
        <v>42474.511562500003</v>
      </c>
      <c r="G50" s="16"/>
      <c r="H50" s="16"/>
      <c r="I50" s="11">
        <v>53</v>
      </c>
      <c r="J50" s="54" t="str">
        <f t="shared" si="0"/>
        <v/>
      </c>
      <c r="K50" t="str">
        <f t="shared" si="1"/>
        <v/>
      </c>
      <c r="L50" t="str">
        <f t="shared" si="2"/>
        <v/>
      </c>
    </row>
    <row r="51" spans="1:12" hidden="1" x14ac:dyDescent="0.2">
      <c r="A51" s="17" t="s">
        <v>246</v>
      </c>
      <c r="B51" s="17" t="s">
        <v>37</v>
      </c>
      <c r="C51" s="16">
        <v>42474.596712962964</v>
      </c>
      <c r="D51" s="17" t="s">
        <v>5</v>
      </c>
      <c r="E51" s="17" t="s">
        <v>40</v>
      </c>
      <c r="F51" s="16">
        <v>42474.596747685187</v>
      </c>
      <c r="G51" s="16"/>
      <c r="H51" s="16"/>
      <c r="I51" s="11">
        <v>54</v>
      </c>
      <c r="J51" s="54" t="str">
        <f t="shared" si="0"/>
        <v/>
      </c>
      <c r="K51" t="str">
        <f t="shared" si="1"/>
        <v/>
      </c>
      <c r="L51" t="str">
        <f t="shared" si="2"/>
        <v/>
      </c>
    </row>
    <row r="52" spans="1:12" hidden="1" x14ac:dyDescent="0.2">
      <c r="A52" s="17" t="s">
        <v>246</v>
      </c>
      <c r="B52" s="17" t="s">
        <v>37</v>
      </c>
      <c r="C52" s="16">
        <v>42474.596712962964</v>
      </c>
      <c r="D52" s="17" t="s">
        <v>5</v>
      </c>
      <c r="E52" s="17" t="s">
        <v>36</v>
      </c>
      <c r="F52" s="16">
        <v>42474.598425925928</v>
      </c>
      <c r="G52" s="16"/>
      <c r="H52" s="16"/>
      <c r="I52" s="11">
        <v>55</v>
      </c>
      <c r="J52" s="54" t="str">
        <f t="shared" si="0"/>
        <v/>
      </c>
      <c r="K52" t="str">
        <f t="shared" si="1"/>
        <v/>
      </c>
      <c r="L52" t="str">
        <f t="shared" si="2"/>
        <v/>
      </c>
    </row>
    <row r="53" spans="1:12" hidden="1" x14ac:dyDescent="0.2">
      <c r="A53" s="17" t="s">
        <v>246</v>
      </c>
      <c r="B53" s="17" t="s">
        <v>37</v>
      </c>
      <c r="C53" s="16">
        <v>42474.596712962964</v>
      </c>
      <c r="D53" s="17" t="s">
        <v>5</v>
      </c>
      <c r="E53" s="17" t="s">
        <v>51</v>
      </c>
      <c r="F53" s="16">
        <v>42474.602407407408</v>
      </c>
      <c r="G53" s="16"/>
      <c r="H53" s="16"/>
      <c r="I53" s="11">
        <v>56</v>
      </c>
      <c r="J53" s="54" t="str">
        <f t="shared" si="0"/>
        <v/>
      </c>
      <c r="K53" t="str">
        <f t="shared" si="1"/>
        <v/>
      </c>
      <c r="L53" t="str">
        <f t="shared" si="2"/>
        <v/>
      </c>
    </row>
    <row r="54" spans="1:12" hidden="1" x14ac:dyDescent="0.2">
      <c r="A54" s="17" t="s">
        <v>245</v>
      </c>
      <c r="B54" s="17" t="s">
        <v>37</v>
      </c>
      <c r="C54" s="16">
        <v>42474.596724537034</v>
      </c>
      <c r="D54" s="17" t="s">
        <v>5</v>
      </c>
      <c r="E54" s="17" t="s">
        <v>40</v>
      </c>
      <c r="F54" s="16">
        <v>42474.596736111111</v>
      </c>
      <c r="G54" s="16"/>
      <c r="H54" s="16"/>
      <c r="I54" s="11">
        <v>57</v>
      </c>
      <c r="J54" s="54" t="str">
        <f t="shared" si="0"/>
        <v/>
      </c>
      <c r="K54" t="str">
        <f t="shared" si="1"/>
        <v/>
      </c>
      <c r="L54" t="str">
        <f t="shared" si="2"/>
        <v/>
      </c>
    </row>
    <row r="55" spans="1:12" hidden="1" x14ac:dyDescent="0.2">
      <c r="A55" s="17" t="s">
        <v>245</v>
      </c>
      <c r="B55" s="17" t="s">
        <v>37</v>
      </c>
      <c r="C55" s="16">
        <v>42474.596724537034</v>
      </c>
      <c r="D55" s="17" t="s">
        <v>5</v>
      </c>
      <c r="E55" s="17" t="s">
        <v>36</v>
      </c>
      <c r="F55" s="16">
        <v>42474.598101851851</v>
      </c>
      <c r="G55" s="16"/>
      <c r="H55" s="16"/>
      <c r="I55" s="11">
        <v>58</v>
      </c>
      <c r="J55" s="54" t="str">
        <f t="shared" si="0"/>
        <v/>
      </c>
      <c r="K55" t="str">
        <f t="shared" si="1"/>
        <v/>
      </c>
      <c r="L55" t="str">
        <f t="shared" si="2"/>
        <v/>
      </c>
    </row>
    <row r="56" spans="1:12" hidden="1" x14ac:dyDescent="0.2">
      <c r="A56" s="17" t="s">
        <v>245</v>
      </c>
      <c r="B56" s="17" t="s">
        <v>37</v>
      </c>
      <c r="C56" s="16">
        <v>42474.596724537034</v>
      </c>
      <c r="D56" s="17" t="s">
        <v>5</v>
      </c>
      <c r="E56" s="17" t="s">
        <v>51</v>
      </c>
      <c r="F56" s="16">
        <v>42474.602743055555</v>
      </c>
      <c r="G56" s="16"/>
      <c r="H56" s="16"/>
      <c r="I56" s="11">
        <v>59</v>
      </c>
      <c r="J56" s="54" t="str">
        <f t="shared" si="0"/>
        <v/>
      </c>
      <c r="K56" t="str">
        <f t="shared" si="1"/>
        <v/>
      </c>
      <c r="L56" t="str">
        <f t="shared" si="2"/>
        <v/>
      </c>
    </row>
    <row r="57" spans="1:12" hidden="1" x14ac:dyDescent="0.2">
      <c r="A57" s="17" t="s">
        <v>244</v>
      </c>
      <c r="B57" s="17" t="s">
        <v>37</v>
      </c>
      <c r="C57" s="16">
        <v>42479.40247685185</v>
      </c>
      <c r="D57" s="17" t="s">
        <v>5</v>
      </c>
      <c r="E57" s="17" t="s">
        <v>40</v>
      </c>
      <c r="F57" s="16">
        <v>42479.402499999997</v>
      </c>
      <c r="G57" s="16"/>
      <c r="H57" s="16"/>
      <c r="I57" s="11">
        <v>60</v>
      </c>
      <c r="J57" s="54" t="str">
        <f t="shared" si="0"/>
        <v/>
      </c>
      <c r="K57" t="str">
        <f t="shared" si="1"/>
        <v/>
      </c>
      <c r="L57" t="str">
        <f t="shared" si="2"/>
        <v/>
      </c>
    </row>
    <row r="58" spans="1:12" hidden="1" x14ac:dyDescent="0.2">
      <c r="A58" s="17" t="s">
        <v>244</v>
      </c>
      <c r="B58" s="17" t="s">
        <v>37</v>
      </c>
      <c r="C58" s="16">
        <v>42479.40247685185</v>
      </c>
      <c r="D58" s="17" t="s">
        <v>5</v>
      </c>
      <c r="E58" s="17" t="s">
        <v>36</v>
      </c>
      <c r="F58" s="16">
        <v>42479.440740740742</v>
      </c>
      <c r="G58" s="16"/>
      <c r="H58" s="16"/>
      <c r="I58" s="11">
        <v>61</v>
      </c>
      <c r="J58" s="54" t="str">
        <f t="shared" si="0"/>
        <v/>
      </c>
      <c r="K58" t="str">
        <f t="shared" si="1"/>
        <v/>
      </c>
      <c r="L58" t="str">
        <f t="shared" si="2"/>
        <v/>
      </c>
    </row>
    <row r="59" spans="1:12" hidden="1" x14ac:dyDescent="0.2">
      <c r="A59" s="17" t="s">
        <v>244</v>
      </c>
      <c r="B59" s="17" t="s">
        <v>37</v>
      </c>
      <c r="C59" s="16">
        <v>42479.40247685185</v>
      </c>
      <c r="D59" s="17" t="s">
        <v>5</v>
      </c>
      <c r="E59" s="17" t="s">
        <v>51</v>
      </c>
      <c r="F59" s="16">
        <v>42479.445173611108</v>
      </c>
      <c r="G59" s="16"/>
      <c r="H59" s="16"/>
      <c r="I59" s="11">
        <v>62</v>
      </c>
      <c r="J59" s="54" t="str">
        <f t="shared" si="0"/>
        <v/>
      </c>
      <c r="K59" t="str">
        <f t="shared" si="1"/>
        <v/>
      </c>
      <c r="L59" t="str">
        <f t="shared" si="2"/>
        <v/>
      </c>
    </row>
    <row r="60" spans="1:12" hidden="1" x14ac:dyDescent="0.2">
      <c r="A60" s="17" t="s">
        <v>243</v>
      </c>
      <c r="B60" s="17" t="s">
        <v>37</v>
      </c>
      <c r="C60" s="16">
        <v>42479.483981481484</v>
      </c>
      <c r="D60" s="17" t="s">
        <v>5</v>
      </c>
      <c r="E60" s="17" t="s">
        <v>40</v>
      </c>
      <c r="F60" s="16">
        <v>42479.4840625</v>
      </c>
      <c r="G60" s="16"/>
      <c r="H60" s="16"/>
      <c r="I60" s="11">
        <v>63</v>
      </c>
      <c r="J60" s="54" t="str">
        <f t="shared" si="0"/>
        <v/>
      </c>
      <c r="K60" t="str">
        <f t="shared" si="1"/>
        <v/>
      </c>
      <c r="L60" t="str">
        <f t="shared" si="2"/>
        <v/>
      </c>
    </row>
    <row r="61" spans="1:12" hidden="1" x14ac:dyDescent="0.2">
      <c r="A61" s="17" t="s">
        <v>243</v>
      </c>
      <c r="B61" s="17" t="s">
        <v>37</v>
      </c>
      <c r="C61" s="16">
        <v>42479.483981481484</v>
      </c>
      <c r="D61" s="17" t="s">
        <v>5</v>
      </c>
      <c r="E61" s="17" t="s">
        <v>36</v>
      </c>
      <c r="F61" s="16">
        <v>42479.51871527778</v>
      </c>
      <c r="G61" s="16"/>
      <c r="H61" s="16"/>
      <c r="I61" s="11">
        <v>64</v>
      </c>
      <c r="J61" s="54" t="str">
        <f t="shared" si="0"/>
        <v/>
      </c>
      <c r="K61" t="str">
        <f t="shared" si="1"/>
        <v/>
      </c>
      <c r="L61" t="str">
        <f t="shared" si="2"/>
        <v/>
      </c>
    </row>
    <row r="62" spans="1:12" hidden="1" x14ac:dyDescent="0.2">
      <c r="A62" s="17" t="s">
        <v>243</v>
      </c>
      <c r="B62" s="17" t="s">
        <v>37</v>
      </c>
      <c r="C62" s="16">
        <v>42479.483981481484</v>
      </c>
      <c r="D62" s="17" t="s">
        <v>5</v>
      </c>
      <c r="E62" s="17" t="s">
        <v>51</v>
      </c>
      <c r="F62" s="16">
        <v>42479.52076388889</v>
      </c>
      <c r="G62" s="16"/>
      <c r="H62" s="16"/>
      <c r="I62" s="11">
        <v>65</v>
      </c>
      <c r="J62" s="54" t="str">
        <f t="shared" si="0"/>
        <v/>
      </c>
      <c r="K62" t="str">
        <f t="shared" si="1"/>
        <v/>
      </c>
      <c r="L62" t="str">
        <f t="shared" si="2"/>
        <v/>
      </c>
    </row>
    <row r="63" spans="1:12" hidden="1" x14ac:dyDescent="0.2">
      <c r="A63" s="17" t="s">
        <v>242</v>
      </c>
      <c r="B63" s="17" t="s">
        <v>37</v>
      </c>
      <c r="C63" s="16">
        <v>42489.438391203701</v>
      </c>
      <c r="D63" s="17" t="s">
        <v>5</v>
      </c>
      <c r="E63" s="17" t="s">
        <v>40</v>
      </c>
      <c r="F63" s="16">
        <v>42489.438472222224</v>
      </c>
      <c r="G63" s="16"/>
      <c r="H63" s="16"/>
      <c r="I63" s="11">
        <v>66</v>
      </c>
      <c r="J63" s="54" t="str">
        <f t="shared" si="0"/>
        <v/>
      </c>
      <c r="K63" t="str">
        <f t="shared" si="1"/>
        <v/>
      </c>
      <c r="L63" t="str">
        <f t="shared" si="2"/>
        <v>NO</v>
      </c>
    </row>
    <row r="64" spans="1:12" hidden="1" x14ac:dyDescent="0.2">
      <c r="A64" s="17" t="s">
        <v>242</v>
      </c>
      <c r="B64" s="17" t="s">
        <v>37</v>
      </c>
      <c r="C64" s="16">
        <v>42489.438391203701</v>
      </c>
      <c r="D64" s="17" t="s">
        <v>5</v>
      </c>
      <c r="E64" s="17" t="s">
        <v>46</v>
      </c>
      <c r="F64" s="16">
        <v>42489.43891203704</v>
      </c>
      <c r="G64" s="16"/>
      <c r="H64" s="16"/>
      <c r="I64" s="11">
        <v>67</v>
      </c>
      <c r="J64" s="54">
        <f t="shared" si="0"/>
        <v>42489.442210648151</v>
      </c>
      <c r="K64" t="str">
        <f t="shared" si="1"/>
        <v>FAS.T2.ETOOLS</v>
      </c>
      <c r="L64" t="str">
        <f t="shared" si="2"/>
        <v>NO</v>
      </c>
    </row>
    <row r="65" spans="1:12" hidden="1" x14ac:dyDescent="0.2">
      <c r="A65" s="17" t="s">
        <v>242</v>
      </c>
      <c r="B65" s="17" t="s">
        <v>37</v>
      </c>
      <c r="C65" s="16">
        <v>42489.438391203701</v>
      </c>
      <c r="D65" s="17" t="s">
        <v>5</v>
      </c>
      <c r="E65" s="17" t="s">
        <v>51</v>
      </c>
      <c r="F65" s="16">
        <v>42489.442210648151</v>
      </c>
      <c r="G65" s="16"/>
      <c r="H65" s="16"/>
      <c r="I65" s="11">
        <v>68</v>
      </c>
      <c r="J65" s="54" t="str">
        <f t="shared" si="0"/>
        <v/>
      </c>
      <c r="K65" t="str">
        <f t="shared" si="1"/>
        <v>FAS.T2.ETOOLS</v>
      </c>
      <c r="L65" t="str">
        <f t="shared" si="2"/>
        <v>NO</v>
      </c>
    </row>
    <row r="66" spans="1:12" hidden="1" x14ac:dyDescent="0.2">
      <c r="A66" s="17" t="s">
        <v>241</v>
      </c>
      <c r="B66" s="17" t="s">
        <v>37</v>
      </c>
      <c r="C66" s="16">
        <v>42514.392870370371</v>
      </c>
      <c r="D66" s="17" t="s">
        <v>5</v>
      </c>
      <c r="E66" s="17" t="s">
        <v>40</v>
      </c>
      <c r="F66" s="16">
        <v>42514.392881944441</v>
      </c>
      <c r="G66" s="16"/>
      <c r="H66" s="16"/>
      <c r="I66" s="11">
        <v>69</v>
      </c>
      <c r="J66" s="54" t="str">
        <f t="shared" ref="J66:J129" si="3">IF(AND(A66=A67,E66="FAS.T2.ETOOLS",E67&lt;&gt;"FAS.T2.ETOOLS"),F67, "")</f>
        <v/>
      </c>
      <c r="K66" t="str">
        <f t="shared" ref="K66:K129" si="4">IF(OR(AND(A66=A65, E66="FAS.T2.ETOOLS"),AND(A66=A65, K65="FAS.T2.ETOOLS")), "FAS.T2.ETOOLS", "")</f>
        <v/>
      </c>
      <c r="L66" t="str">
        <f t="shared" ref="L66:L129" si="5">IF(AND(A66&lt;&gt;A67, E66&lt;&gt;"FAS.T2.ETOOLS", K66="FAS.T2.ETOOLS"), "NO", IF(AND(A66=A67,L67="NO"), "NO", ""))</f>
        <v/>
      </c>
    </row>
    <row r="67" spans="1:12" hidden="1" x14ac:dyDescent="0.2">
      <c r="A67" s="17" t="s">
        <v>241</v>
      </c>
      <c r="B67" s="17" t="s">
        <v>37</v>
      </c>
      <c r="C67" s="16">
        <v>42514.392870370371</v>
      </c>
      <c r="D67" s="17" t="s">
        <v>5</v>
      </c>
      <c r="E67" s="17" t="s">
        <v>51</v>
      </c>
      <c r="F67" s="16">
        <v>42514.394212962965</v>
      </c>
      <c r="G67" s="16"/>
      <c r="H67" s="16"/>
      <c r="I67" s="11">
        <v>70</v>
      </c>
      <c r="J67" s="54" t="str">
        <f t="shared" si="3"/>
        <v/>
      </c>
      <c r="K67" t="str">
        <f t="shared" si="4"/>
        <v/>
      </c>
      <c r="L67" t="str">
        <f t="shared" si="5"/>
        <v/>
      </c>
    </row>
    <row r="68" spans="1:12" hidden="1" x14ac:dyDescent="0.2">
      <c r="A68" s="17" t="s">
        <v>238</v>
      </c>
      <c r="B68" s="17" t="s">
        <v>37</v>
      </c>
      <c r="C68" s="16">
        <v>42521.494409722225</v>
      </c>
      <c r="D68" s="17" t="s">
        <v>5</v>
      </c>
      <c r="E68" s="17" t="s">
        <v>40</v>
      </c>
      <c r="F68" s="16">
        <v>42521.494490740741</v>
      </c>
      <c r="G68" s="16"/>
      <c r="H68" s="16"/>
      <c r="I68" s="11">
        <v>71</v>
      </c>
      <c r="J68" s="54" t="str">
        <f t="shared" si="3"/>
        <v/>
      </c>
      <c r="K68" t="str">
        <f t="shared" si="4"/>
        <v/>
      </c>
      <c r="L68" t="str">
        <f t="shared" si="5"/>
        <v>NO</v>
      </c>
    </row>
    <row r="69" spans="1:12" hidden="1" x14ac:dyDescent="0.2">
      <c r="A69" s="17" t="s">
        <v>238</v>
      </c>
      <c r="B69" s="17" t="s">
        <v>37</v>
      </c>
      <c r="C69" s="16">
        <v>42521.494409722225</v>
      </c>
      <c r="D69" s="17" t="s">
        <v>5</v>
      </c>
      <c r="E69" s="17" t="s">
        <v>123</v>
      </c>
      <c r="F69" s="16">
        <v>42521.500115740739</v>
      </c>
      <c r="G69" s="16"/>
      <c r="H69" s="16"/>
      <c r="I69" s="11">
        <v>72</v>
      </c>
      <c r="J69" s="54" t="str">
        <f t="shared" si="3"/>
        <v/>
      </c>
      <c r="K69" t="str">
        <f t="shared" si="4"/>
        <v/>
      </c>
      <c r="L69" t="str">
        <f t="shared" si="5"/>
        <v>NO</v>
      </c>
    </row>
    <row r="70" spans="1:12" hidden="1" x14ac:dyDescent="0.2">
      <c r="A70" s="17" t="s">
        <v>238</v>
      </c>
      <c r="B70" s="17" t="s">
        <v>37</v>
      </c>
      <c r="C70" s="16">
        <v>42521.494409722225</v>
      </c>
      <c r="D70" s="17" t="s">
        <v>5</v>
      </c>
      <c r="E70" s="17" t="s">
        <v>54</v>
      </c>
      <c r="F70" s="16">
        <v>42521.525277777779</v>
      </c>
      <c r="G70" s="16"/>
      <c r="H70" s="16"/>
      <c r="I70" s="11">
        <v>73</v>
      </c>
      <c r="J70" s="54" t="str">
        <f t="shared" si="3"/>
        <v/>
      </c>
      <c r="K70" t="str">
        <f t="shared" si="4"/>
        <v/>
      </c>
      <c r="L70" t="str">
        <f t="shared" si="5"/>
        <v>NO</v>
      </c>
    </row>
    <row r="71" spans="1:12" hidden="1" x14ac:dyDescent="0.2">
      <c r="A71" s="17" t="s">
        <v>238</v>
      </c>
      <c r="B71" s="17" t="s">
        <v>37</v>
      </c>
      <c r="C71" s="16">
        <v>42521.494409722225</v>
      </c>
      <c r="D71" s="17" t="s">
        <v>5</v>
      </c>
      <c r="E71" s="17" t="s">
        <v>240</v>
      </c>
      <c r="F71" s="16">
        <v>42521.618541666663</v>
      </c>
      <c r="G71" s="16"/>
      <c r="H71" s="16"/>
      <c r="I71" s="11">
        <v>74</v>
      </c>
      <c r="J71" s="54" t="str">
        <f t="shared" si="3"/>
        <v/>
      </c>
      <c r="K71" t="str">
        <f t="shared" si="4"/>
        <v/>
      </c>
      <c r="L71" t="str">
        <f t="shared" si="5"/>
        <v>NO</v>
      </c>
    </row>
    <row r="72" spans="1:12" hidden="1" x14ac:dyDescent="0.2">
      <c r="A72" s="17" t="s">
        <v>238</v>
      </c>
      <c r="B72" s="17" t="s">
        <v>37</v>
      </c>
      <c r="C72" s="16">
        <v>42521.494409722225</v>
      </c>
      <c r="D72" s="17" t="s">
        <v>5</v>
      </c>
      <c r="E72" s="17" t="s">
        <v>36</v>
      </c>
      <c r="F72" s="16">
        <v>42521.621689814812</v>
      </c>
      <c r="G72" s="16"/>
      <c r="H72" s="16"/>
      <c r="I72" s="11">
        <v>75</v>
      </c>
      <c r="J72" s="54" t="str">
        <f t="shared" si="3"/>
        <v/>
      </c>
      <c r="K72" t="str">
        <f t="shared" si="4"/>
        <v/>
      </c>
      <c r="L72" t="str">
        <f t="shared" si="5"/>
        <v>NO</v>
      </c>
    </row>
    <row r="73" spans="1:12" hidden="1" x14ac:dyDescent="0.2">
      <c r="A73" s="17" t="s">
        <v>238</v>
      </c>
      <c r="B73" s="17" t="s">
        <v>37</v>
      </c>
      <c r="C73" s="16">
        <v>42521.494409722225</v>
      </c>
      <c r="D73" s="17" t="s">
        <v>5</v>
      </c>
      <c r="E73" s="17" t="s">
        <v>46</v>
      </c>
      <c r="F73" s="16">
        <v>42521.644791666666</v>
      </c>
      <c r="G73" s="16"/>
      <c r="H73" s="16"/>
      <c r="I73" s="11">
        <v>76</v>
      </c>
      <c r="J73" s="54">
        <f t="shared" si="3"/>
        <v>42521.646006944444</v>
      </c>
      <c r="K73" t="str">
        <f t="shared" si="4"/>
        <v>FAS.T2.ETOOLS</v>
      </c>
      <c r="L73" t="str">
        <f t="shared" si="5"/>
        <v>NO</v>
      </c>
    </row>
    <row r="74" spans="1:12" hidden="1" x14ac:dyDescent="0.2">
      <c r="A74" s="17" t="s">
        <v>238</v>
      </c>
      <c r="B74" s="17" t="s">
        <v>37</v>
      </c>
      <c r="C74" s="16">
        <v>42521.494409722225</v>
      </c>
      <c r="D74" s="17" t="s">
        <v>5</v>
      </c>
      <c r="E74" s="17" t="s">
        <v>51</v>
      </c>
      <c r="F74" s="16">
        <v>42521.646006944444</v>
      </c>
      <c r="G74" s="16"/>
      <c r="H74" s="16"/>
      <c r="I74" s="11">
        <v>78</v>
      </c>
      <c r="J74" s="54" t="str">
        <f t="shared" si="3"/>
        <v/>
      </c>
      <c r="K74" t="str">
        <f t="shared" si="4"/>
        <v>FAS.T2.ETOOLS</v>
      </c>
      <c r="L74" t="str">
        <f t="shared" si="5"/>
        <v>NO</v>
      </c>
    </row>
    <row r="75" spans="1:12" hidden="1" x14ac:dyDescent="0.2">
      <c r="A75" s="17" t="s">
        <v>237</v>
      </c>
      <c r="B75" s="17" t="s">
        <v>37</v>
      </c>
      <c r="C75" s="16">
        <v>42527.492800925924</v>
      </c>
      <c r="D75" s="17" t="s">
        <v>5</v>
      </c>
      <c r="E75" s="17" t="s">
        <v>40</v>
      </c>
      <c r="F75" s="16">
        <v>42527.492824074077</v>
      </c>
      <c r="G75" s="16"/>
      <c r="H75" s="16"/>
      <c r="I75" s="11">
        <v>79</v>
      </c>
      <c r="J75" s="54" t="str">
        <f t="shared" si="3"/>
        <v/>
      </c>
      <c r="K75" t="str">
        <f t="shared" si="4"/>
        <v/>
      </c>
      <c r="L75" t="str">
        <f t="shared" si="5"/>
        <v/>
      </c>
    </row>
    <row r="76" spans="1:12" hidden="1" x14ac:dyDescent="0.2">
      <c r="A76" s="17" t="s">
        <v>237</v>
      </c>
      <c r="B76" s="17" t="s">
        <v>37</v>
      </c>
      <c r="C76" s="16">
        <v>42527.492800925924</v>
      </c>
      <c r="D76" s="17" t="s">
        <v>5</v>
      </c>
      <c r="E76" s="17" t="s">
        <v>36</v>
      </c>
      <c r="F76" s="16">
        <v>42527.495636574073</v>
      </c>
      <c r="G76" s="16"/>
      <c r="H76" s="16"/>
      <c r="I76" s="11">
        <v>80</v>
      </c>
      <c r="J76" s="54" t="str">
        <f t="shared" si="3"/>
        <v/>
      </c>
      <c r="K76" t="str">
        <f t="shared" si="4"/>
        <v/>
      </c>
      <c r="L76" t="str">
        <f t="shared" si="5"/>
        <v/>
      </c>
    </row>
    <row r="77" spans="1:12" hidden="1" x14ac:dyDescent="0.2">
      <c r="A77" s="17" t="s">
        <v>237</v>
      </c>
      <c r="B77" s="17" t="s">
        <v>37</v>
      </c>
      <c r="C77" s="16">
        <v>42527.492800925924</v>
      </c>
      <c r="D77" s="17" t="s">
        <v>5</v>
      </c>
      <c r="E77" s="17" t="s">
        <v>51</v>
      </c>
      <c r="F77" s="16">
        <v>42527.537418981483</v>
      </c>
      <c r="G77" s="16"/>
      <c r="H77" s="16"/>
      <c r="I77" s="11">
        <v>81</v>
      </c>
      <c r="J77" s="54" t="str">
        <f t="shared" si="3"/>
        <v/>
      </c>
      <c r="K77" t="str">
        <f t="shared" si="4"/>
        <v/>
      </c>
      <c r="L77" t="str">
        <f t="shared" si="5"/>
        <v/>
      </c>
    </row>
    <row r="78" spans="1:12" hidden="1" x14ac:dyDescent="0.2">
      <c r="A78" s="17" t="s">
        <v>236</v>
      </c>
      <c r="B78" s="17" t="s">
        <v>37</v>
      </c>
      <c r="C78" s="16">
        <v>42534.472326388888</v>
      </c>
      <c r="D78" s="17" t="s">
        <v>5</v>
      </c>
      <c r="E78" s="17" t="s">
        <v>40</v>
      </c>
      <c r="F78" s="16">
        <v>42534.472430555557</v>
      </c>
      <c r="G78" s="16"/>
      <c r="H78" s="16"/>
      <c r="I78" s="11">
        <v>82</v>
      </c>
      <c r="J78" s="54" t="str">
        <f t="shared" si="3"/>
        <v/>
      </c>
      <c r="K78" t="str">
        <f t="shared" si="4"/>
        <v/>
      </c>
      <c r="L78" t="str">
        <f t="shared" si="5"/>
        <v/>
      </c>
    </row>
    <row r="79" spans="1:12" hidden="1" x14ac:dyDescent="0.2">
      <c r="A79" s="17" t="s">
        <v>236</v>
      </c>
      <c r="B79" s="17" t="s">
        <v>37</v>
      </c>
      <c r="C79" s="16">
        <v>42534.472326388888</v>
      </c>
      <c r="D79" s="17" t="s">
        <v>5</v>
      </c>
      <c r="E79" s="17" t="s">
        <v>36</v>
      </c>
      <c r="F79" s="16">
        <v>42534.472881944443</v>
      </c>
      <c r="G79" s="16"/>
      <c r="H79" s="16"/>
      <c r="I79" s="11">
        <v>83</v>
      </c>
      <c r="J79" s="54" t="str">
        <f t="shared" si="3"/>
        <v/>
      </c>
      <c r="K79" t="str">
        <f t="shared" si="4"/>
        <v/>
      </c>
      <c r="L79" t="str">
        <f t="shared" si="5"/>
        <v/>
      </c>
    </row>
    <row r="80" spans="1:12" hidden="1" x14ac:dyDescent="0.2">
      <c r="A80" s="17" t="s">
        <v>236</v>
      </c>
      <c r="B80" s="17" t="s">
        <v>37</v>
      </c>
      <c r="C80" s="16">
        <v>42534.472326388888</v>
      </c>
      <c r="D80" s="17" t="s">
        <v>5</v>
      </c>
      <c r="E80" s="17" t="s">
        <v>51</v>
      </c>
      <c r="F80" s="16">
        <v>42534.531087962961</v>
      </c>
      <c r="G80" s="16"/>
      <c r="H80" s="16"/>
      <c r="I80" s="11">
        <v>84</v>
      </c>
      <c r="J80" s="54" t="str">
        <f t="shared" si="3"/>
        <v/>
      </c>
      <c r="K80" t="str">
        <f t="shared" si="4"/>
        <v/>
      </c>
      <c r="L80" t="str">
        <f t="shared" si="5"/>
        <v/>
      </c>
    </row>
    <row r="81" spans="1:12" hidden="1" x14ac:dyDescent="0.2">
      <c r="A81" s="17" t="s">
        <v>235</v>
      </c>
      <c r="B81" s="17" t="s">
        <v>37</v>
      </c>
      <c r="C81" s="16">
        <v>42558.516319444447</v>
      </c>
      <c r="D81" s="17" t="s">
        <v>5</v>
      </c>
      <c r="E81" s="17" t="s">
        <v>40</v>
      </c>
      <c r="F81" s="16">
        <v>42558.516342592593</v>
      </c>
      <c r="G81" s="16"/>
      <c r="H81" s="16"/>
      <c r="I81" s="11">
        <v>85</v>
      </c>
      <c r="J81" s="54" t="str">
        <f t="shared" si="3"/>
        <v/>
      </c>
      <c r="K81" t="str">
        <f t="shared" si="4"/>
        <v/>
      </c>
      <c r="L81" t="str">
        <f t="shared" si="5"/>
        <v/>
      </c>
    </row>
    <row r="82" spans="1:12" hidden="1" x14ac:dyDescent="0.2">
      <c r="A82" s="17" t="s">
        <v>235</v>
      </c>
      <c r="B82" s="17" t="s">
        <v>37</v>
      </c>
      <c r="C82" s="16">
        <v>42558.516319444447</v>
      </c>
      <c r="D82" s="17" t="s">
        <v>5</v>
      </c>
      <c r="E82" s="17" t="s">
        <v>36</v>
      </c>
      <c r="F82" s="16">
        <v>42558.516851851855</v>
      </c>
      <c r="G82" s="16"/>
      <c r="H82" s="16"/>
      <c r="I82" s="11">
        <v>86</v>
      </c>
      <c r="J82" s="54" t="str">
        <f t="shared" si="3"/>
        <v/>
      </c>
      <c r="K82" t="str">
        <f t="shared" si="4"/>
        <v/>
      </c>
      <c r="L82" t="str">
        <f t="shared" si="5"/>
        <v/>
      </c>
    </row>
    <row r="83" spans="1:12" hidden="1" x14ac:dyDescent="0.2">
      <c r="A83" s="17" t="s">
        <v>235</v>
      </c>
      <c r="B83" s="17" t="s">
        <v>37</v>
      </c>
      <c r="C83" s="16">
        <v>42558.516319444447</v>
      </c>
      <c r="D83" s="17" t="s">
        <v>5</v>
      </c>
      <c r="E83" s="17" t="s">
        <v>51</v>
      </c>
      <c r="F83" s="16">
        <v>42558.533067129632</v>
      </c>
      <c r="G83" s="16"/>
      <c r="H83" s="16"/>
      <c r="I83" s="11">
        <v>87</v>
      </c>
      <c r="J83" s="54" t="str">
        <f t="shared" si="3"/>
        <v/>
      </c>
      <c r="K83" t="str">
        <f t="shared" si="4"/>
        <v/>
      </c>
      <c r="L83" t="str">
        <f t="shared" si="5"/>
        <v/>
      </c>
    </row>
    <row r="84" spans="1:12" hidden="1" x14ac:dyDescent="0.2">
      <c r="A84" s="17" t="s">
        <v>234</v>
      </c>
      <c r="B84" s="17" t="s">
        <v>37</v>
      </c>
      <c r="C84" s="16">
        <v>42558.557685185187</v>
      </c>
      <c r="D84" s="17" t="s">
        <v>5</v>
      </c>
      <c r="E84" s="17" t="s">
        <v>40</v>
      </c>
      <c r="F84" s="16">
        <v>42558.55773148148</v>
      </c>
      <c r="G84" s="16"/>
      <c r="H84" s="16"/>
      <c r="I84" s="11">
        <v>88</v>
      </c>
      <c r="J84" s="54" t="str">
        <f t="shared" si="3"/>
        <v/>
      </c>
      <c r="K84" t="str">
        <f t="shared" si="4"/>
        <v/>
      </c>
      <c r="L84" t="str">
        <f t="shared" si="5"/>
        <v/>
      </c>
    </row>
    <row r="85" spans="1:12" hidden="1" x14ac:dyDescent="0.2">
      <c r="A85" s="17" t="s">
        <v>234</v>
      </c>
      <c r="B85" s="17" t="s">
        <v>37</v>
      </c>
      <c r="C85" s="16">
        <v>42558.557685185187</v>
      </c>
      <c r="D85" s="17" t="s">
        <v>5</v>
      </c>
      <c r="E85" s="17" t="s">
        <v>36</v>
      </c>
      <c r="F85" s="16">
        <v>42558.559675925928</v>
      </c>
      <c r="G85" s="16"/>
      <c r="H85" s="16"/>
      <c r="I85" s="11">
        <v>89</v>
      </c>
      <c r="J85" s="54" t="str">
        <f t="shared" si="3"/>
        <v/>
      </c>
      <c r="K85" t="str">
        <f t="shared" si="4"/>
        <v/>
      </c>
      <c r="L85" t="str">
        <f t="shared" si="5"/>
        <v/>
      </c>
    </row>
    <row r="86" spans="1:12" hidden="1" x14ac:dyDescent="0.2">
      <c r="A86" s="17" t="s">
        <v>234</v>
      </c>
      <c r="B86" s="17" t="s">
        <v>37</v>
      </c>
      <c r="C86" s="16">
        <v>42558.557685185187</v>
      </c>
      <c r="D86" s="17" t="s">
        <v>5</v>
      </c>
      <c r="E86" s="17" t="s">
        <v>213</v>
      </c>
      <c r="F86" s="16">
        <v>42558.568923611114</v>
      </c>
      <c r="G86" s="16"/>
      <c r="H86" s="16"/>
      <c r="I86" s="11">
        <v>90</v>
      </c>
      <c r="J86" s="54" t="str">
        <f t="shared" si="3"/>
        <v/>
      </c>
      <c r="K86" t="str">
        <f t="shared" si="4"/>
        <v/>
      </c>
      <c r="L86" t="str">
        <f t="shared" si="5"/>
        <v/>
      </c>
    </row>
    <row r="87" spans="1:12" hidden="1" x14ac:dyDescent="0.2">
      <c r="A87" s="17" t="s">
        <v>233</v>
      </c>
      <c r="B87" s="17" t="s">
        <v>37</v>
      </c>
      <c r="C87" s="16">
        <v>42562.731226851851</v>
      </c>
      <c r="D87" s="17" t="s">
        <v>5</v>
      </c>
      <c r="E87" s="17" t="s">
        <v>40</v>
      </c>
      <c r="F87" s="16">
        <v>42562.73128472222</v>
      </c>
      <c r="G87" s="16"/>
      <c r="H87" s="16"/>
      <c r="I87" s="11">
        <v>91</v>
      </c>
      <c r="J87" s="54" t="str">
        <f t="shared" si="3"/>
        <v/>
      </c>
      <c r="K87" t="str">
        <f t="shared" si="4"/>
        <v/>
      </c>
      <c r="L87" t="str">
        <f t="shared" si="5"/>
        <v>NO</v>
      </c>
    </row>
    <row r="88" spans="1:12" hidden="1" x14ac:dyDescent="0.2">
      <c r="A88" s="17" t="s">
        <v>233</v>
      </c>
      <c r="B88" s="17" t="s">
        <v>37</v>
      </c>
      <c r="C88" s="16">
        <v>42562.731226851851</v>
      </c>
      <c r="D88" s="17" t="s">
        <v>5</v>
      </c>
      <c r="E88" s="17" t="s">
        <v>36</v>
      </c>
      <c r="F88" s="16">
        <v>42562.735879629632</v>
      </c>
      <c r="G88" s="16"/>
      <c r="H88" s="16"/>
      <c r="I88" s="11">
        <v>92</v>
      </c>
      <c r="J88" s="54" t="str">
        <f t="shared" si="3"/>
        <v/>
      </c>
      <c r="K88" t="str">
        <f t="shared" si="4"/>
        <v/>
      </c>
      <c r="L88" t="str">
        <f t="shared" si="5"/>
        <v>NO</v>
      </c>
    </row>
    <row r="89" spans="1:12" hidden="1" x14ac:dyDescent="0.2">
      <c r="A89" s="17" t="s">
        <v>233</v>
      </c>
      <c r="B89" s="17" t="s">
        <v>37</v>
      </c>
      <c r="C89" s="16">
        <v>42562.731226851851</v>
      </c>
      <c r="D89" s="17" t="s">
        <v>5</v>
      </c>
      <c r="E89" s="17" t="s">
        <v>46</v>
      </c>
      <c r="F89" s="16">
        <v>42563.515289351853</v>
      </c>
      <c r="G89" s="16"/>
      <c r="H89" s="16"/>
      <c r="I89" s="11">
        <v>94</v>
      </c>
      <c r="J89" s="54">
        <f t="shared" si="3"/>
        <v>42563.516388888886</v>
      </c>
      <c r="K89" t="str">
        <f t="shared" si="4"/>
        <v>FAS.T2.ETOOLS</v>
      </c>
      <c r="L89" t="str">
        <f t="shared" si="5"/>
        <v>NO</v>
      </c>
    </row>
    <row r="90" spans="1:12" hidden="1" x14ac:dyDescent="0.2">
      <c r="A90" s="17" t="s">
        <v>233</v>
      </c>
      <c r="B90" s="17" t="s">
        <v>37</v>
      </c>
      <c r="C90" s="16">
        <v>42562.731226851851</v>
      </c>
      <c r="D90" s="17" t="s">
        <v>5</v>
      </c>
      <c r="E90" s="17" t="s">
        <v>51</v>
      </c>
      <c r="F90" s="16">
        <v>42563.516388888886</v>
      </c>
      <c r="G90" s="16"/>
      <c r="H90" s="16"/>
      <c r="I90" s="11">
        <v>96</v>
      </c>
      <c r="J90" s="54" t="str">
        <f t="shared" si="3"/>
        <v/>
      </c>
      <c r="K90" t="str">
        <f t="shared" si="4"/>
        <v>FAS.T2.ETOOLS</v>
      </c>
      <c r="L90" t="str">
        <f t="shared" si="5"/>
        <v>NO</v>
      </c>
    </row>
    <row r="91" spans="1:12" hidden="1" x14ac:dyDescent="0.2">
      <c r="A91" s="17" t="s">
        <v>232</v>
      </c>
      <c r="B91" s="17" t="s">
        <v>37</v>
      </c>
      <c r="C91" s="16">
        <v>42565.532152777778</v>
      </c>
      <c r="D91" s="17" t="s">
        <v>5</v>
      </c>
      <c r="E91" s="17" t="s">
        <v>40</v>
      </c>
      <c r="F91" s="16">
        <v>42565.532187500001</v>
      </c>
      <c r="G91" s="16"/>
      <c r="H91" s="16"/>
      <c r="I91" s="11">
        <v>97</v>
      </c>
      <c r="J91" s="54" t="str">
        <f t="shared" si="3"/>
        <v/>
      </c>
      <c r="K91" t="str">
        <f t="shared" si="4"/>
        <v/>
      </c>
      <c r="L91" t="str">
        <f t="shared" si="5"/>
        <v>NO</v>
      </c>
    </row>
    <row r="92" spans="1:12" hidden="1" x14ac:dyDescent="0.2">
      <c r="A92" s="17" t="s">
        <v>232</v>
      </c>
      <c r="B92" s="17" t="s">
        <v>37</v>
      </c>
      <c r="C92" s="16">
        <v>42565.532152777778</v>
      </c>
      <c r="D92" s="17" t="s">
        <v>5</v>
      </c>
      <c r="E92" s="17" t="s">
        <v>36</v>
      </c>
      <c r="F92" s="16">
        <v>42565.532893518517</v>
      </c>
      <c r="G92" s="16"/>
      <c r="H92" s="16"/>
      <c r="I92" s="11">
        <v>98</v>
      </c>
      <c r="J92" s="54" t="str">
        <f t="shared" si="3"/>
        <v/>
      </c>
      <c r="K92" t="str">
        <f t="shared" si="4"/>
        <v/>
      </c>
      <c r="L92" t="str">
        <f t="shared" si="5"/>
        <v>NO</v>
      </c>
    </row>
    <row r="93" spans="1:12" hidden="1" x14ac:dyDescent="0.2">
      <c r="A93" s="17" t="s">
        <v>232</v>
      </c>
      <c r="B93" s="17" t="s">
        <v>37</v>
      </c>
      <c r="C93" s="16">
        <v>42565.532152777778</v>
      </c>
      <c r="D93" s="17" t="s">
        <v>5</v>
      </c>
      <c r="E93" s="17" t="s">
        <v>41</v>
      </c>
      <c r="F93" s="16">
        <v>42566.334791666668</v>
      </c>
      <c r="G93" s="16"/>
      <c r="H93" s="16"/>
      <c r="I93" s="11">
        <v>100</v>
      </c>
      <c r="J93" s="54" t="str">
        <f t="shared" si="3"/>
        <v/>
      </c>
      <c r="K93" t="str">
        <f t="shared" si="4"/>
        <v/>
      </c>
      <c r="L93" t="str">
        <f t="shared" si="5"/>
        <v>NO</v>
      </c>
    </row>
    <row r="94" spans="1:12" hidden="1" x14ac:dyDescent="0.2">
      <c r="A94" s="17" t="s">
        <v>232</v>
      </c>
      <c r="B94" s="17" t="s">
        <v>37</v>
      </c>
      <c r="C94" s="16">
        <v>42565.532152777778</v>
      </c>
      <c r="D94" s="17" t="s">
        <v>5</v>
      </c>
      <c r="E94" s="17" t="s">
        <v>36</v>
      </c>
      <c r="F94" s="16">
        <v>42569.571053240739</v>
      </c>
      <c r="G94" s="16"/>
      <c r="H94" s="16"/>
      <c r="I94" s="11">
        <v>101</v>
      </c>
      <c r="J94" s="54" t="str">
        <f t="shared" si="3"/>
        <v/>
      </c>
      <c r="K94" t="str">
        <f t="shared" si="4"/>
        <v/>
      </c>
      <c r="L94" t="str">
        <f t="shared" si="5"/>
        <v>NO</v>
      </c>
    </row>
    <row r="95" spans="1:12" hidden="1" x14ac:dyDescent="0.2">
      <c r="A95" s="17" t="s">
        <v>232</v>
      </c>
      <c r="B95" s="17" t="s">
        <v>37</v>
      </c>
      <c r="C95" s="16">
        <v>42565.532152777778</v>
      </c>
      <c r="D95" s="17" t="s">
        <v>5</v>
      </c>
      <c r="E95" s="17" t="s">
        <v>46</v>
      </c>
      <c r="F95" s="16">
        <v>42569.575925925928</v>
      </c>
      <c r="G95" s="16"/>
      <c r="H95" s="16"/>
      <c r="I95" s="11">
        <v>102</v>
      </c>
      <c r="J95" s="54">
        <f t="shared" si="3"/>
        <v>42569.593587962961</v>
      </c>
      <c r="K95" t="str">
        <f t="shared" si="4"/>
        <v>FAS.T2.ETOOLS</v>
      </c>
      <c r="L95" t="str">
        <f t="shared" si="5"/>
        <v>NO</v>
      </c>
    </row>
    <row r="96" spans="1:12" hidden="1" x14ac:dyDescent="0.2">
      <c r="A96" s="17" t="s">
        <v>232</v>
      </c>
      <c r="B96" s="17" t="s">
        <v>37</v>
      </c>
      <c r="C96" s="16">
        <v>42565.532152777778</v>
      </c>
      <c r="D96" s="17" t="s">
        <v>5</v>
      </c>
      <c r="E96" s="17" t="s">
        <v>51</v>
      </c>
      <c r="F96" s="16">
        <v>42569.593587962961</v>
      </c>
      <c r="G96" s="16"/>
      <c r="H96" s="16"/>
      <c r="I96" s="11">
        <v>104</v>
      </c>
      <c r="J96" s="54" t="str">
        <f t="shared" si="3"/>
        <v/>
      </c>
      <c r="K96" t="str">
        <f t="shared" si="4"/>
        <v>FAS.T2.ETOOLS</v>
      </c>
      <c r="L96" t="str">
        <f t="shared" si="5"/>
        <v>NO</v>
      </c>
    </row>
    <row r="97" spans="1:12" hidden="1" x14ac:dyDescent="0.2">
      <c r="A97" s="17" t="s">
        <v>231</v>
      </c>
      <c r="B97" s="17" t="s">
        <v>37</v>
      </c>
      <c r="C97" s="16">
        <v>42565.580069444448</v>
      </c>
      <c r="D97" s="17" t="s">
        <v>5</v>
      </c>
      <c r="E97" s="17" t="s">
        <v>40</v>
      </c>
      <c r="F97" s="16">
        <v>42565.580092592594</v>
      </c>
      <c r="G97" s="16"/>
      <c r="H97" s="16"/>
      <c r="I97" s="11">
        <v>105</v>
      </c>
      <c r="J97" s="54" t="str">
        <f t="shared" si="3"/>
        <v/>
      </c>
      <c r="K97" t="str">
        <f t="shared" si="4"/>
        <v/>
      </c>
      <c r="L97" t="str">
        <f t="shared" si="5"/>
        <v>NO</v>
      </c>
    </row>
    <row r="98" spans="1:12" hidden="1" x14ac:dyDescent="0.2">
      <c r="A98" s="17" t="s">
        <v>231</v>
      </c>
      <c r="B98" s="17" t="s">
        <v>37</v>
      </c>
      <c r="C98" s="16">
        <v>42565.580069444448</v>
      </c>
      <c r="D98" s="17" t="s">
        <v>5</v>
      </c>
      <c r="E98" s="17" t="s">
        <v>36</v>
      </c>
      <c r="F98" s="16">
        <v>42565.582685185182</v>
      </c>
      <c r="G98" s="16"/>
      <c r="H98" s="16"/>
      <c r="I98" s="11">
        <v>106</v>
      </c>
      <c r="J98" s="54" t="str">
        <f t="shared" si="3"/>
        <v/>
      </c>
      <c r="K98" t="str">
        <f t="shared" si="4"/>
        <v/>
      </c>
      <c r="L98" t="str">
        <f t="shared" si="5"/>
        <v>NO</v>
      </c>
    </row>
    <row r="99" spans="1:12" hidden="1" x14ac:dyDescent="0.2">
      <c r="A99" s="17" t="s">
        <v>231</v>
      </c>
      <c r="B99" s="17" t="s">
        <v>37</v>
      </c>
      <c r="C99" s="16">
        <v>42565.580069444448</v>
      </c>
      <c r="D99" s="17" t="s">
        <v>5</v>
      </c>
      <c r="E99" s="17" t="s">
        <v>46</v>
      </c>
      <c r="F99" s="16">
        <v>42565.589791666665</v>
      </c>
      <c r="G99" s="16"/>
      <c r="H99" s="16"/>
      <c r="I99" s="11">
        <v>107</v>
      </c>
      <c r="J99" s="54">
        <f t="shared" si="3"/>
        <v>42565.618402777778</v>
      </c>
      <c r="K99" t="str">
        <f t="shared" si="4"/>
        <v>FAS.T2.ETOOLS</v>
      </c>
      <c r="L99" t="str">
        <f t="shared" si="5"/>
        <v>NO</v>
      </c>
    </row>
    <row r="100" spans="1:12" hidden="1" x14ac:dyDescent="0.2">
      <c r="A100" s="17" t="s">
        <v>231</v>
      </c>
      <c r="B100" s="17" t="s">
        <v>37</v>
      </c>
      <c r="C100" s="16">
        <v>42565.580069444448</v>
      </c>
      <c r="D100" s="17" t="s">
        <v>5</v>
      </c>
      <c r="E100" s="17" t="s">
        <v>36</v>
      </c>
      <c r="F100" s="16">
        <v>42565.618402777778</v>
      </c>
      <c r="G100" s="16"/>
      <c r="H100" s="16"/>
      <c r="I100" s="11">
        <v>108</v>
      </c>
      <c r="J100" s="54" t="str">
        <f t="shared" si="3"/>
        <v/>
      </c>
      <c r="K100" t="str">
        <f t="shared" si="4"/>
        <v>FAS.T2.ETOOLS</v>
      </c>
      <c r="L100" t="str">
        <f t="shared" si="5"/>
        <v>NO</v>
      </c>
    </row>
    <row r="101" spans="1:12" hidden="1" x14ac:dyDescent="0.2">
      <c r="A101" s="17" t="s">
        <v>231</v>
      </c>
      <c r="B101" s="17" t="s">
        <v>37</v>
      </c>
      <c r="C101" s="16">
        <v>42565.580069444448</v>
      </c>
      <c r="D101" s="17" t="s">
        <v>5</v>
      </c>
      <c r="E101" s="17" t="s">
        <v>51</v>
      </c>
      <c r="F101" s="16">
        <v>42565.62358796296</v>
      </c>
      <c r="G101" s="16"/>
      <c r="H101" s="16"/>
      <c r="I101" s="11">
        <v>109</v>
      </c>
      <c r="J101" s="54" t="str">
        <f t="shared" si="3"/>
        <v/>
      </c>
      <c r="K101" t="str">
        <f t="shared" si="4"/>
        <v>FAS.T2.ETOOLS</v>
      </c>
      <c r="L101" t="str">
        <f t="shared" si="5"/>
        <v>NO</v>
      </c>
    </row>
    <row r="102" spans="1:12" hidden="1" x14ac:dyDescent="0.2">
      <c r="A102" s="17" t="s">
        <v>230</v>
      </c>
      <c r="B102" s="17" t="s">
        <v>37</v>
      </c>
      <c r="C102" s="16">
        <v>42569.71435185185</v>
      </c>
      <c r="D102" s="17" t="s">
        <v>5</v>
      </c>
      <c r="E102" s="17" t="s">
        <v>40</v>
      </c>
      <c r="F102" s="16">
        <v>42569.714467592596</v>
      </c>
      <c r="G102" s="16"/>
      <c r="H102" s="16"/>
      <c r="I102" s="11">
        <v>110</v>
      </c>
      <c r="J102" s="54" t="str">
        <f t="shared" si="3"/>
        <v/>
      </c>
      <c r="K102" t="str">
        <f t="shared" si="4"/>
        <v/>
      </c>
      <c r="L102" t="str">
        <f t="shared" si="5"/>
        <v>NO</v>
      </c>
    </row>
    <row r="103" spans="1:12" hidden="1" x14ac:dyDescent="0.2">
      <c r="A103" s="17" t="s">
        <v>230</v>
      </c>
      <c r="B103" s="17" t="s">
        <v>37</v>
      </c>
      <c r="C103" s="16">
        <v>42569.71435185185</v>
      </c>
      <c r="D103" s="17" t="s">
        <v>5</v>
      </c>
      <c r="E103" s="17" t="s">
        <v>46</v>
      </c>
      <c r="F103" s="16">
        <v>42569.71770833333</v>
      </c>
      <c r="G103" s="16"/>
      <c r="H103" s="16"/>
      <c r="I103" s="11">
        <v>111</v>
      </c>
      <c r="J103" s="54">
        <f t="shared" si="3"/>
        <v>42570.413032407407</v>
      </c>
      <c r="K103" t="str">
        <f t="shared" si="4"/>
        <v>FAS.T2.ETOOLS</v>
      </c>
      <c r="L103" t="str">
        <f t="shared" si="5"/>
        <v>NO</v>
      </c>
    </row>
    <row r="104" spans="1:12" hidden="1" x14ac:dyDescent="0.2">
      <c r="A104" s="17" t="s">
        <v>230</v>
      </c>
      <c r="B104" s="17" t="s">
        <v>37</v>
      </c>
      <c r="C104" s="16">
        <v>42569.71435185185</v>
      </c>
      <c r="D104" s="17" t="s">
        <v>5</v>
      </c>
      <c r="E104" s="17" t="s">
        <v>51</v>
      </c>
      <c r="F104" s="16">
        <v>42570.413032407407</v>
      </c>
      <c r="G104" s="16"/>
      <c r="H104" s="16"/>
      <c r="I104" s="11">
        <v>113</v>
      </c>
      <c r="J104" s="54" t="str">
        <f t="shared" si="3"/>
        <v/>
      </c>
      <c r="K104" t="str">
        <f t="shared" si="4"/>
        <v>FAS.T2.ETOOLS</v>
      </c>
      <c r="L104" t="str">
        <f t="shared" si="5"/>
        <v>NO</v>
      </c>
    </row>
    <row r="105" spans="1:12" hidden="1" x14ac:dyDescent="0.2">
      <c r="A105" s="17" t="s">
        <v>229</v>
      </c>
      <c r="B105" s="17" t="s">
        <v>37</v>
      </c>
      <c r="C105" s="16">
        <v>42576.541655092595</v>
      </c>
      <c r="D105" s="17" t="s">
        <v>5</v>
      </c>
      <c r="E105" s="17" t="s">
        <v>40</v>
      </c>
      <c r="F105" s="16">
        <v>42576.541689814818</v>
      </c>
      <c r="G105" s="16"/>
      <c r="H105" s="16"/>
      <c r="I105" s="11">
        <v>114</v>
      </c>
      <c r="J105" s="54" t="str">
        <f t="shared" si="3"/>
        <v/>
      </c>
      <c r="K105" t="str">
        <f t="shared" si="4"/>
        <v/>
      </c>
      <c r="L105" t="str">
        <f t="shared" si="5"/>
        <v/>
      </c>
    </row>
    <row r="106" spans="1:12" hidden="1" x14ac:dyDescent="0.2">
      <c r="A106" s="17" t="s">
        <v>229</v>
      </c>
      <c r="B106" s="17" t="s">
        <v>37</v>
      </c>
      <c r="C106" s="16">
        <v>42576.541655092595</v>
      </c>
      <c r="D106" s="17" t="s">
        <v>5</v>
      </c>
      <c r="E106" s="17" t="s">
        <v>36</v>
      </c>
      <c r="F106" s="16">
        <v>42576.54859953704</v>
      </c>
      <c r="G106" s="16"/>
      <c r="H106" s="16"/>
      <c r="I106" s="11">
        <v>115</v>
      </c>
      <c r="J106" s="54" t="str">
        <f t="shared" si="3"/>
        <v/>
      </c>
      <c r="K106" t="str">
        <f t="shared" si="4"/>
        <v/>
      </c>
      <c r="L106" t="str">
        <f t="shared" si="5"/>
        <v/>
      </c>
    </row>
    <row r="107" spans="1:12" hidden="1" x14ac:dyDescent="0.2">
      <c r="A107" s="17" t="s">
        <v>229</v>
      </c>
      <c r="B107" s="17" t="s">
        <v>37</v>
      </c>
      <c r="C107" s="16">
        <v>42576.541655092595</v>
      </c>
      <c r="D107" s="17" t="s">
        <v>5</v>
      </c>
      <c r="E107" s="17" t="s">
        <v>51</v>
      </c>
      <c r="F107" s="16">
        <v>42576.639791666668</v>
      </c>
      <c r="G107" s="16"/>
      <c r="H107" s="16"/>
      <c r="I107" s="11">
        <v>116</v>
      </c>
      <c r="J107" s="54" t="str">
        <f t="shared" si="3"/>
        <v/>
      </c>
      <c r="K107" t="str">
        <f t="shared" si="4"/>
        <v/>
      </c>
      <c r="L107" t="str">
        <f t="shared" si="5"/>
        <v/>
      </c>
    </row>
    <row r="108" spans="1:12" hidden="1" x14ac:dyDescent="0.2">
      <c r="A108" s="17" t="s">
        <v>228</v>
      </c>
      <c r="B108" s="17" t="s">
        <v>37</v>
      </c>
      <c r="C108" s="16">
        <v>42583.329872685186</v>
      </c>
      <c r="D108" s="17" t="s">
        <v>5</v>
      </c>
      <c r="E108" s="17" t="s">
        <v>40</v>
      </c>
      <c r="F108" s="16">
        <v>42583.329918981479</v>
      </c>
      <c r="G108" s="16"/>
      <c r="H108" s="16"/>
      <c r="I108" s="11">
        <v>117</v>
      </c>
      <c r="J108" s="54" t="str">
        <f t="shared" si="3"/>
        <v/>
      </c>
      <c r="K108" t="str">
        <f t="shared" si="4"/>
        <v/>
      </c>
      <c r="L108" t="str">
        <f t="shared" si="5"/>
        <v/>
      </c>
    </row>
    <row r="109" spans="1:12" hidden="1" x14ac:dyDescent="0.2">
      <c r="A109" s="17" t="s">
        <v>228</v>
      </c>
      <c r="B109" s="17" t="s">
        <v>37</v>
      </c>
      <c r="C109" s="16">
        <v>42583.329872685186</v>
      </c>
      <c r="D109" s="17" t="s">
        <v>5</v>
      </c>
      <c r="E109" s="17" t="s">
        <v>36</v>
      </c>
      <c r="F109" s="16">
        <v>42583.335486111115</v>
      </c>
      <c r="G109" s="16"/>
      <c r="H109" s="16"/>
      <c r="I109" s="11">
        <v>118</v>
      </c>
      <c r="J109" s="54" t="str">
        <f t="shared" si="3"/>
        <v/>
      </c>
      <c r="K109" t="str">
        <f t="shared" si="4"/>
        <v/>
      </c>
      <c r="L109" t="str">
        <f t="shared" si="5"/>
        <v/>
      </c>
    </row>
    <row r="110" spans="1:12" hidden="1" x14ac:dyDescent="0.2">
      <c r="A110" s="17" t="s">
        <v>228</v>
      </c>
      <c r="B110" s="17" t="s">
        <v>37</v>
      </c>
      <c r="C110" s="16">
        <v>42583.329872685186</v>
      </c>
      <c r="D110" s="17" t="s">
        <v>5</v>
      </c>
      <c r="E110" s="17" t="s">
        <v>51</v>
      </c>
      <c r="F110" s="16">
        <v>42583.376261574071</v>
      </c>
      <c r="G110" s="16"/>
      <c r="H110" s="16"/>
      <c r="I110" s="11">
        <v>119</v>
      </c>
      <c r="J110" s="54" t="str">
        <f t="shared" si="3"/>
        <v/>
      </c>
      <c r="K110" t="str">
        <f t="shared" si="4"/>
        <v/>
      </c>
      <c r="L110" t="str">
        <f t="shared" si="5"/>
        <v/>
      </c>
    </row>
    <row r="111" spans="1:12" hidden="1" x14ac:dyDescent="0.2">
      <c r="A111" s="17" t="s">
        <v>227</v>
      </c>
      <c r="B111" s="17" t="s">
        <v>37</v>
      </c>
      <c r="C111" s="16">
        <v>42583.376886574071</v>
      </c>
      <c r="D111" s="17" t="s">
        <v>5</v>
      </c>
      <c r="E111" s="17" t="s">
        <v>40</v>
      </c>
      <c r="F111" s="16">
        <v>42583.376967592594</v>
      </c>
      <c r="G111" s="16"/>
      <c r="H111" s="16"/>
      <c r="I111" s="11">
        <v>120</v>
      </c>
      <c r="J111" s="54" t="str">
        <f t="shared" si="3"/>
        <v/>
      </c>
      <c r="K111" t="str">
        <f t="shared" si="4"/>
        <v/>
      </c>
      <c r="L111" t="str">
        <f t="shared" si="5"/>
        <v/>
      </c>
    </row>
    <row r="112" spans="1:12" hidden="1" x14ac:dyDescent="0.2">
      <c r="A112" s="17" t="s">
        <v>227</v>
      </c>
      <c r="B112" s="17" t="s">
        <v>37</v>
      </c>
      <c r="C112" s="16">
        <v>42583.376886574071</v>
      </c>
      <c r="D112" s="17" t="s">
        <v>5</v>
      </c>
      <c r="E112" s="17" t="s">
        <v>36</v>
      </c>
      <c r="F112" s="16">
        <v>42583.379201388889</v>
      </c>
      <c r="G112" s="16"/>
      <c r="H112" s="16"/>
      <c r="I112" s="11">
        <v>121</v>
      </c>
      <c r="J112" s="54" t="str">
        <f t="shared" si="3"/>
        <v/>
      </c>
      <c r="K112" t="str">
        <f t="shared" si="4"/>
        <v/>
      </c>
      <c r="L112" t="str">
        <f t="shared" si="5"/>
        <v/>
      </c>
    </row>
    <row r="113" spans="1:12" hidden="1" x14ac:dyDescent="0.2">
      <c r="A113" s="17" t="s">
        <v>227</v>
      </c>
      <c r="B113" s="17" t="s">
        <v>37</v>
      </c>
      <c r="C113" s="16">
        <v>42583.376886574071</v>
      </c>
      <c r="D113" s="17" t="s">
        <v>5</v>
      </c>
      <c r="E113" s="17" t="s">
        <v>51</v>
      </c>
      <c r="F113" s="16">
        <v>42584.481805555559</v>
      </c>
      <c r="G113" s="16"/>
      <c r="H113" s="16"/>
      <c r="I113" s="11">
        <v>123</v>
      </c>
      <c r="J113" s="54" t="str">
        <f t="shared" si="3"/>
        <v/>
      </c>
      <c r="K113" t="str">
        <f t="shared" si="4"/>
        <v/>
      </c>
      <c r="L113" t="str">
        <f t="shared" si="5"/>
        <v/>
      </c>
    </row>
    <row r="114" spans="1:12" hidden="1" x14ac:dyDescent="0.2">
      <c r="A114" s="17" t="s">
        <v>226</v>
      </c>
      <c r="B114" s="17" t="s">
        <v>37</v>
      </c>
      <c r="C114" s="16">
        <v>42583.381018518521</v>
      </c>
      <c r="D114" s="17" t="s">
        <v>5</v>
      </c>
      <c r="E114" s="17" t="s">
        <v>40</v>
      </c>
      <c r="F114" s="16">
        <v>42583.381076388891</v>
      </c>
      <c r="G114" s="16"/>
      <c r="H114" s="16"/>
      <c r="I114" s="11">
        <v>124</v>
      </c>
      <c r="J114" s="54" t="str">
        <f t="shared" si="3"/>
        <v/>
      </c>
      <c r="K114" t="str">
        <f t="shared" si="4"/>
        <v/>
      </c>
      <c r="L114" t="str">
        <f t="shared" si="5"/>
        <v/>
      </c>
    </row>
    <row r="115" spans="1:12" hidden="1" x14ac:dyDescent="0.2">
      <c r="A115" s="17" t="s">
        <v>226</v>
      </c>
      <c r="B115" s="17" t="s">
        <v>37</v>
      </c>
      <c r="C115" s="16">
        <v>42583.381018518521</v>
      </c>
      <c r="D115" s="17" t="s">
        <v>5</v>
      </c>
      <c r="E115" s="17" t="s">
        <v>51</v>
      </c>
      <c r="F115" s="16">
        <v>42583.389351851853</v>
      </c>
      <c r="G115" s="16"/>
      <c r="H115" s="16"/>
      <c r="I115" s="11">
        <v>125</v>
      </c>
      <c r="J115" s="54" t="str">
        <f t="shared" si="3"/>
        <v/>
      </c>
      <c r="K115" t="str">
        <f t="shared" si="4"/>
        <v/>
      </c>
      <c r="L115" t="str">
        <f t="shared" si="5"/>
        <v/>
      </c>
    </row>
    <row r="116" spans="1:12" hidden="1" x14ac:dyDescent="0.2">
      <c r="A116" s="17" t="s">
        <v>225</v>
      </c>
      <c r="B116" s="17" t="s">
        <v>37</v>
      </c>
      <c r="C116" s="16">
        <v>42583.383414351854</v>
      </c>
      <c r="D116" s="17" t="s">
        <v>5</v>
      </c>
      <c r="E116" s="17" t="s">
        <v>40</v>
      </c>
      <c r="F116" s="16">
        <v>42583.383460648147</v>
      </c>
      <c r="G116" s="16"/>
      <c r="H116" s="16"/>
      <c r="I116" s="11">
        <v>126</v>
      </c>
      <c r="J116" s="54" t="str">
        <f t="shared" si="3"/>
        <v/>
      </c>
      <c r="K116" t="str">
        <f t="shared" si="4"/>
        <v/>
      </c>
      <c r="L116" t="str">
        <f t="shared" si="5"/>
        <v/>
      </c>
    </row>
    <row r="117" spans="1:12" hidden="1" x14ac:dyDescent="0.2">
      <c r="A117" s="17" t="s">
        <v>225</v>
      </c>
      <c r="B117" s="17" t="s">
        <v>37</v>
      </c>
      <c r="C117" s="16">
        <v>42583.383414351854</v>
      </c>
      <c r="D117" s="17" t="s">
        <v>5</v>
      </c>
      <c r="E117" s="17" t="s">
        <v>36</v>
      </c>
      <c r="F117" s="16">
        <v>42583.383935185186</v>
      </c>
      <c r="G117" s="16"/>
      <c r="H117" s="16"/>
      <c r="I117" s="11">
        <v>127</v>
      </c>
      <c r="J117" s="54" t="str">
        <f t="shared" si="3"/>
        <v/>
      </c>
      <c r="K117" t="str">
        <f t="shared" si="4"/>
        <v/>
      </c>
      <c r="L117" t="str">
        <f t="shared" si="5"/>
        <v/>
      </c>
    </row>
    <row r="118" spans="1:12" hidden="1" x14ac:dyDescent="0.2">
      <c r="A118" s="17" t="s">
        <v>225</v>
      </c>
      <c r="B118" s="17" t="s">
        <v>37</v>
      </c>
      <c r="C118" s="16">
        <v>42583.383414351854</v>
      </c>
      <c r="D118" s="17" t="s">
        <v>5</v>
      </c>
      <c r="E118" s="17" t="s">
        <v>51</v>
      </c>
      <c r="F118" s="16">
        <v>42584.482303240744</v>
      </c>
      <c r="G118" s="16"/>
      <c r="H118" s="16"/>
      <c r="I118" s="11">
        <v>129</v>
      </c>
      <c r="J118" s="54" t="str">
        <f t="shared" si="3"/>
        <v/>
      </c>
      <c r="K118" t="str">
        <f t="shared" si="4"/>
        <v/>
      </c>
      <c r="L118" t="str">
        <f t="shared" si="5"/>
        <v/>
      </c>
    </row>
    <row r="119" spans="1:12" hidden="1" x14ac:dyDescent="0.2">
      <c r="A119" s="17" t="s">
        <v>224</v>
      </c>
      <c r="B119" s="17" t="s">
        <v>37</v>
      </c>
      <c r="C119" s="16">
        <v>42583.449861111112</v>
      </c>
      <c r="D119" s="17" t="s">
        <v>5</v>
      </c>
      <c r="E119" s="17" t="s">
        <v>40</v>
      </c>
      <c r="F119" s="16">
        <v>42583.449976851851</v>
      </c>
      <c r="G119" s="16"/>
      <c r="H119" s="16"/>
      <c r="I119" s="11">
        <v>130</v>
      </c>
      <c r="J119" s="54" t="str">
        <f t="shared" si="3"/>
        <v/>
      </c>
      <c r="K119" t="str">
        <f t="shared" si="4"/>
        <v/>
      </c>
      <c r="L119" t="str">
        <f t="shared" si="5"/>
        <v>NO</v>
      </c>
    </row>
    <row r="120" spans="1:12" hidden="1" x14ac:dyDescent="0.2">
      <c r="A120" s="17" t="s">
        <v>224</v>
      </c>
      <c r="B120" s="17" t="s">
        <v>37</v>
      </c>
      <c r="C120" s="16">
        <v>42583.449861111112</v>
      </c>
      <c r="D120" s="17" t="s">
        <v>5</v>
      </c>
      <c r="E120" s="17" t="s">
        <v>36</v>
      </c>
      <c r="F120" s="16">
        <v>42583.451979166668</v>
      </c>
      <c r="G120" s="16"/>
      <c r="H120" s="16"/>
      <c r="I120" s="11">
        <v>131</v>
      </c>
      <c r="J120" s="54" t="str">
        <f t="shared" si="3"/>
        <v/>
      </c>
      <c r="K120" t="str">
        <f t="shared" si="4"/>
        <v/>
      </c>
      <c r="L120" t="str">
        <f t="shared" si="5"/>
        <v>NO</v>
      </c>
    </row>
    <row r="121" spans="1:12" hidden="1" x14ac:dyDescent="0.2">
      <c r="A121" s="17" t="s">
        <v>224</v>
      </c>
      <c r="B121" s="17" t="s">
        <v>37</v>
      </c>
      <c r="C121" s="16">
        <v>42583.449861111112</v>
      </c>
      <c r="D121" s="17" t="s">
        <v>5</v>
      </c>
      <c r="E121" s="17" t="s">
        <v>46</v>
      </c>
      <c r="F121" s="16">
        <v>42583.455925925926</v>
      </c>
      <c r="G121" s="16"/>
      <c r="H121" s="16"/>
      <c r="I121" s="11">
        <v>132</v>
      </c>
      <c r="J121" s="54">
        <f t="shared" si="3"/>
        <v>42583.463553240741</v>
      </c>
      <c r="K121" t="str">
        <f t="shared" si="4"/>
        <v>FAS.T2.ETOOLS</v>
      </c>
      <c r="L121" t="str">
        <f t="shared" si="5"/>
        <v>NO</v>
      </c>
    </row>
    <row r="122" spans="1:12" hidden="1" x14ac:dyDescent="0.2">
      <c r="A122" s="17" t="s">
        <v>224</v>
      </c>
      <c r="B122" s="17" t="s">
        <v>37</v>
      </c>
      <c r="C122" s="16">
        <v>42583.449861111112</v>
      </c>
      <c r="D122" s="17" t="s">
        <v>5</v>
      </c>
      <c r="E122" s="17" t="s">
        <v>36</v>
      </c>
      <c r="F122" s="16">
        <v>42583.463553240741</v>
      </c>
      <c r="G122" s="16"/>
      <c r="H122" s="16"/>
      <c r="I122" s="11">
        <v>134</v>
      </c>
      <c r="J122" s="54" t="str">
        <f t="shared" si="3"/>
        <v/>
      </c>
      <c r="K122" t="str">
        <f t="shared" si="4"/>
        <v>FAS.T2.ETOOLS</v>
      </c>
      <c r="L122" t="str">
        <f t="shared" si="5"/>
        <v>NO</v>
      </c>
    </row>
    <row r="123" spans="1:12" hidden="1" x14ac:dyDescent="0.2">
      <c r="A123" s="17" t="s">
        <v>224</v>
      </c>
      <c r="B123" s="17" t="s">
        <v>37</v>
      </c>
      <c r="C123" s="16">
        <v>42583.449861111112</v>
      </c>
      <c r="D123" s="17" t="s">
        <v>5</v>
      </c>
      <c r="E123" s="17" t="s">
        <v>51</v>
      </c>
      <c r="F123" s="16">
        <v>42583.526122685187</v>
      </c>
      <c r="G123" s="16"/>
      <c r="H123" s="16"/>
      <c r="I123" s="11">
        <v>135</v>
      </c>
      <c r="J123" s="54" t="str">
        <f t="shared" si="3"/>
        <v/>
      </c>
      <c r="K123" t="str">
        <f t="shared" si="4"/>
        <v>FAS.T2.ETOOLS</v>
      </c>
      <c r="L123" t="str">
        <f t="shared" si="5"/>
        <v>NO</v>
      </c>
    </row>
    <row r="124" spans="1:12" hidden="1" x14ac:dyDescent="0.2">
      <c r="A124" s="17" t="s">
        <v>223</v>
      </c>
      <c r="B124" s="17" t="s">
        <v>37</v>
      </c>
      <c r="C124" s="16">
        <v>42583.472858796296</v>
      </c>
      <c r="D124" s="17" t="s">
        <v>5</v>
      </c>
      <c r="E124" s="17" t="s">
        <v>40</v>
      </c>
      <c r="F124" s="16">
        <v>42583.472928240742</v>
      </c>
      <c r="G124" s="16"/>
      <c r="H124" s="16"/>
      <c r="I124" s="11">
        <v>136</v>
      </c>
      <c r="J124" s="54" t="str">
        <f t="shared" si="3"/>
        <v/>
      </c>
      <c r="K124" t="str">
        <f t="shared" si="4"/>
        <v/>
      </c>
      <c r="L124" t="str">
        <f t="shared" si="5"/>
        <v/>
      </c>
    </row>
    <row r="125" spans="1:12" hidden="1" x14ac:dyDescent="0.2">
      <c r="A125" s="17" t="s">
        <v>223</v>
      </c>
      <c r="B125" s="17" t="s">
        <v>37</v>
      </c>
      <c r="C125" s="16">
        <v>42583.472858796296</v>
      </c>
      <c r="D125" s="17" t="s">
        <v>5</v>
      </c>
      <c r="E125" s="17" t="s">
        <v>36</v>
      </c>
      <c r="F125" s="16">
        <v>42583.47892361111</v>
      </c>
      <c r="G125" s="16"/>
      <c r="H125" s="16"/>
      <c r="I125" s="11">
        <v>137</v>
      </c>
      <c r="J125" s="54" t="str">
        <f t="shared" si="3"/>
        <v/>
      </c>
      <c r="K125" t="str">
        <f t="shared" si="4"/>
        <v/>
      </c>
      <c r="L125" t="str">
        <f t="shared" si="5"/>
        <v/>
      </c>
    </row>
    <row r="126" spans="1:12" hidden="1" x14ac:dyDescent="0.2">
      <c r="A126" s="17" t="s">
        <v>223</v>
      </c>
      <c r="B126" s="17" t="s">
        <v>37</v>
      </c>
      <c r="C126" s="16">
        <v>42583.472858796296</v>
      </c>
      <c r="D126" s="17" t="s">
        <v>5</v>
      </c>
      <c r="E126" s="17" t="s">
        <v>51</v>
      </c>
      <c r="F126" s="16">
        <v>42583.530833333331</v>
      </c>
      <c r="G126" s="16"/>
      <c r="H126" s="16"/>
      <c r="I126" s="11">
        <v>139</v>
      </c>
      <c r="J126" s="54" t="str">
        <f t="shared" si="3"/>
        <v/>
      </c>
      <c r="K126" t="str">
        <f t="shared" si="4"/>
        <v/>
      </c>
      <c r="L126" t="str">
        <f t="shared" si="5"/>
        <v/>
      </c>
    </row>
    <row r="127" spans="1:12" hidden="1" x14ac:dyDescent="0.2">
      <c r="A127" s="17" t="s">
        <v>222</v>
      </c>
      <c r="B127" s="17" t="s">
        <v>37</v>
      </c>
      <c r="C127" s="16">
        <v>42583.572743055556</v>
      </c>
      <c r="D127" s="17" t="s">
        <v>5</v>
      </c>
      <c r="E127" s="17" t="s">
        <v>40</v>
      </c>
      <c r="F127" s="16">
        <v>42583.572766203702</v>
      </c>
      <c r="G127" s="16"/>
      <c r="H127" s="16"/>
      <c r="I127" s="11">
        <v>140</v>
      </c>
      <c r="J127" s="54" t="str">
        <f t="shared" si="3"/>
        <v/>
      </c>
      <c r="K127" t="str">
        <f t="shared" si="4"/>
        <v/>
      </c>
      <c r="L127" t="str">
        <f t="shared" si="5"/>
        <v/>
      </c>
    </row>
    <row r="128" spans="1:12" hidden="1" x14ac:dyDescent="0.2">
      <c r="A128" s="17" t="s">
        <v>222</v>
      </c>
      <c r="B128" s="17" t="s">
        <v>37</v>
      </c>
      <c r="C128" s="16">
        <v>42583.572743055556</v>
      </c>
      <c r="D128" s="17" t="s">
        <v>5</v>
      </c>
      <c r="E128" s="17" t="s">
        <v>36</v>
      </c>
      <c r="F128" s="16">
        <v>42583.573449074072</v>
      </c>
      <c r="G128" s="16"/>
      <c r="H128" s="16"/>
      <c r="I128" s="11">
        <v>141</v>
      </c>
      <c r="J128" s="54" t="str">
        <f t="shared" si="3"/>
        <v/>
      </c>
      <c r="K128" t="str">
        <f t="shared" si="4"/>
        <v/>
      </c>
      <c r="L128" t="str">
        <f t="shared" si="5"/>
        <v/>
      </c>
    </row>
    <row r="129" spans="1:12" hidden="1" x14ac:dyDescent="0.2">
      <c r="A129" s="17" t="s">
        <v>222</v>
      </c>
      <c r="B129" s="17" t="s">
        <v>37</v>
      </c>
      <c r="C129" s="16">
        <v>42583.572743055556</v>
      </c>
      <c r="D129" s="17" t="s">
        <v>5</v>
      </c>
      <c r="E129" s="17" t="s">
        <v>51</v>
      </c>
      <c r="F129" s="16">
        <v>42583.643020833333</v>
      </c>
      <c r="G129" s="16"/>
      <c r="H129" s="16"/>
      <c r="I129" s="11">
        <v>142</v>
      </c>
      <c r="J129" s="54" t="str">
        <f t="shared" si="3"/>
        <v/>
      </c>
      <c r="K129" t="str">
        <f t="shared" si="4"/>
        <v/>
      </c>
      <c r="L129" t="str">
        <f t="shared" si="5"/>
        <v/>
      </c>
    </row>
    <row r="130" spans="1:12" hidden="1" x14ac:dyDescent="0.2">
      <c r="A130" s="17" t="s">
        <v>221</v>
      </c>
      <c r="B130" s="17" t="s">
        <v>37</v>
      </c>
      <c r="C130" s="16">
        <v>42586.659710648149</v>
      </c>
      <c r="D130" s="17" t="s">
        <v>5</v>
      </c>
      <c r="E130" s="17" t="s">
        <v>51</v>
      </c>
      <c r="F130" s="16">
        <v>42586.660428240742</v>
      </c>
      <c r="G130" s="16"/>
      <c r="H130" s="16"/>
      <c r="I130" s="11">
        <v>143</v>
      </c>
      <c r="J130" s="54" t="str">
        <f t="shared" ref="J130:J193" si="6">IF(AND(A130=A131,E130="FAS.T2.ETOOLS",E131&lt;&gt;"FAS.T2.ETOOLS"),F131, "")</f>
        <v/>
      </c>
      <c r="K130" t="str">
        <f t="shared" ref="K130:K193" si="7">IF(OR(AND(A130=A129, E130="FAS.T2.ETOOLS"),AND(A130=A129, K129="FAS.T2.ETOOLS")), "FAS.T2.ETOOLS", "")</f>
        <v/>
      </c>
      <c r="L130" t="str">
        <f t="shared" ref="L130:L193" si="8">IF(AND(A130&lt;&gt;A131, E130&lt;&gt;"FAS.T2.ETOOLS", K130="FAS.T2.ETOOLS"), "NO", IF(AND(A130=A131,L131="NO"), "NO", ""))</f>
        <v/>
      </c>
    </row>
    <row r="131" spans="1:12" hidden="1" x14ac:dyDescent="0.2">
      <c r="A131" s="17" t="s">
        <v>220</v>
      </c>
      <c r="B131" s="17" t="s">
        <v>37</v>
      </c>
      <c r="C131" s="16">
        <v>42591.545046296298</v>
      </c>
      <c r="D131" s="17" t="s">
        <v>5</v>
      </c>
      <c r="E131" s="17" t="s">
        <v>40</v>
      </c>
      <c r="F131" s="16">
        <v>42591.545115740744</v>
      </c>
      <c r="G131" s="16"/>
      <c r="H131" s="16"/>
      <c r="I131" s="11">
        <v>144</v>
      </c>
      <c r="J131" s="54" t="str">
        <f t="shared" si="6"/>
        <v/>
      </c>
      <c r="K131" t="str">
        <f t="shared" si="7"/>
        <v/>
      </c>
      <c r="L131" t="str">
        <f t="shared" si="8"/>
        <v>NO</v>
      </c>
    </row>
    <row r="132" spans="1:12" hidden="1" x14ac:dyDescent="0.2">
      <c r="A132" s="17" t="s">
        <v>220</v>
      </c>
      <c r="B132" s="17" t="s">
        <v>37</v>
      </c>
      <c r="C132" s="16">
        <v>42591.545046296298</v>
      </c>
      <c r="D132" s="17" t="s">
        <v>5</v>
      </c>
      <c r="E132" s="17" t="s">
        <v>46</v>
      </c>
      <c r="F132" s="16">
        <v>42591.552673611113</v>
      </c>
      <c r="G132" s="16"/>
      <c r="H132" s="16"/>
      <c r="I132" s="11">
        <v>145</v>
      </c>
      <c r="J132" s="54">
        <f t="shared" si="6"/>
        <v>42591.575486111113</v>
      </c>
      <c r="K132" t="str">
        <f t="shared" si="7"/>
        <v>FAS.T2.ETOOLS</v>
      </c>
      <c r="L132" t="str">
        <f t="shared" si="8"/>
        <v>NO</v>
      </c>
    </row>
    <row r="133" spans="1:12" hidden="1" x14ac:dyDescent="0.2">
      <c r="A133" s="17" t="s">
        <v>220</v>
      </c>
      <c r="B133" s="17" t="s">
        <v>37</v>
      </c>
      <c r="C133" s="16">
        <v>42591.545046296298</v>
      </c>
      <c r="D133" s="17" t="s">
        <v>5</v>
      </c>
      <c r="E133" s="17" t="s">
        <v>51</v>
      </c>
      <c r="F133" s="16">
        <v>42591.575486111113</v>
      </c>
      <c r="G133" s="16"/>
      <c r="H133" s="16"/>
      <c r="I133" s="11">
        <v>147</v>
      </c>
      <c r="J133" s="54" t="str">
        <f t="shared" si="6"/>
        <v/>
      </c>
      <c r="K133" t="str">
        <f t="shared" si="7"/>
        <v>FAS.T2.ETOOLS</v>
      </c>
      <c r="L133" t="str">
        <f t="shared" si="8"/>
        <v>NO</v>
      </c>
    </row>
    <row r="134" spans="1:12" hidden="1" x14ac:dyDescent="0.2">
      <c r="A134" s="17" t="s">
        <v>219</v>
      </c>
      <c r="B134" s="17" t="s">
        <v>37</v>
      </c>
      <c r="C134" s="16">
        <v>42612.690405092595</v>
      </c>
      <c r="D134" s="17" t="s">
        <v>5</v>
      </c>
      <c r="E134" s="17" t="s">
        <v>40</v>
      </c>
      <c r="F134" s="16">
        <v>42612.690486111111</v>
      </c>
      <c r="G134" s="16"/>
      <c r="H134" s="16"/>
      <c r="I134" s="11">
        <v>148</v>
      </c>
      <c r="J134" s="54" t="str">
        <f t="shared" si="6"/>
        <v/>
      </c>
      <c r="K134" t="str">
        <f t="shared" si="7"/>
        <v/>
      </c>
      <c r="L134" t="str">
        <f t="shared" si="8"/>
        <v/>
      </c>
    </row>
    <row r="135" spans="1:12" hidden="1" x14ac:dyDescent="0.2">
      <c r="A135" s="17" t="s">
        <v>219</v>
      </c>
      <c r="B135" s="17" t="s">
        <v>37</v>
      </c>
      <c r="C135" s="16">
        <v>42612.690405092595</v>
      </c>
      <c r="D135" s="17" t="s">
        <v>5</v>
      </c>
      <c r="E135" s="17" t="s">
        <v>51</v>
      </c>
      <c r="F135" s="16">
        <v>42612.696701388886</v>
      </c>
      <c r="G135" s="16"/>
      <c r="H135" s="16"/>
      <c r="I135" s="11">
        <v>149</v>
      </c>
      <c r="J135" s="54" t="str">
        <f t="shared" si="6"/>
        <v/>
      </c>
      <c r="K135" t="str">
        <f t="shared" si="7"/>
        <v/>
      </c>
      <c r="L135" t="str">
        <f t="shared" si="8"/>
        <v/>
      </c>
    </row>
    <row r="136" spans="1:12" hidden="1" x14ac:dyDescent="0.2">
      <c r="A136" s="17" t="s">
        <v>218</v>
      </c>
      <c r="B136" s="17" t="s">
        <v>37</v>
      </c>
      <c r="C136" s="16">
        <v>42626.470451388886</v>
      </c>
      <c r="D136" s="17" t="s">
        <v>5</v>
      </c>
      <c r="E136" s="17" t="s">
        <v>40</v>
      </c>
      <c r="F136" s="16">
        <v>42626.470497685186</v>
      </c>
      <c r="G136" s="16"/>
      <c r="H136" s="16"/>
      <c r="I136" s="11">
        <v>150</v>
      </c>
      <c r="J136" s="54" t="str">
        <f t="shared" si="6"/>
        <v/>
      </c>
      <c r="K136" t="str">
        <f t="shared" si="7"/>
        <v/>
      </c>
      <c r="L136" t="str">
        <f t="shared" si="8"/>
        <v/>
      </c>
    </row>
    <row r="137" spans="1:12" hidden="1" x14ac:dyDescent="0.2">
      <c r="A137" s="17" t="s">
        <v>218</v>
      </c>
      <c r="B137" s="17" t="s">
        <v>37</v>
      </c>
      <c r="C137" s="16">
        <v>42626.470451388886</v>
      </c>
      <c r="D137" s="17" t="s">
        <v>5</v>
      </c>
      <c r="E137" s="17" t="s">
        <v>36</v>
      </c>
      <c r="F137" s="16">
        <v>42626.472754629627</v>
      </c>
      <c r="G137" s="16"/>
      <c r="H137" s="16"/>
      <c r="I137" s="11">
        <v>151</v>
      </c>
      <c r="J137" s="54" t="str">
        <f t="shared" si="6"/>
        <v/>
      </c>
      <c r="K137" t="str">
        <f t="shared" si="7"/>
        <v/>
      </c>
      <c r="L137" t="str">
        <f t="shared" si="8"/>
        <v/>
      </c>
    </row>
    <row r="138" spans="1:12" hidden="1" x14ac:dyDescent="0.2">
      <c r="A138" s="17" t="s">
        <v>218</v>
      </c>
      <c r="B138" s="17" t="s">
        <v>37</v>
      </c>
      <c r="C138" s="16">
        <v>42626.470451388886</v>
      </c>
      <c r="D138" s="17" t="s">
        <v>5</v>
      </c>
      <c r="E138" s="17" t="s">
        <v>51</v>
      </c>
      <c r="F138" s="16">
        <v>42626.477696759262</v>
      </c>
      <c r="G138" s="16"/>
      <c r="H138" s="16"/>
      <c r="I138" s="11">
        <v>152</v>
      </c>
      <c r="J138" s="54" t="str">
        <f t="shared" si="6"/>
        <v/>
      </c>
      <c r="K138" t="str">
        <f t="shared" si="7"/>
        <v/>
      </c>
      <c r="L138" t="str">
        <f t="shared" si="8"/>
        <v/>
      </c>
    </row>
    <row r="139" spans="1:12" hidden="1" x14ac:dyDescent="0.2">
      <c r="A139" s="17" t="s">
        <v>218</v>
      </c>
      <c r="B139" s="17" t="s">
        <v>37</v>
      </c>
      <c r="C139" s="16">
        <v>42626.470451388886</v>
      </c>
      <c r="D139" s="17" t="s">
        <v>5</v>
      </c>
      <c r="E139" s="17" t="s">
        <v>36</v>
      </c>
      <c r="F139" s="16">
        <v>42626.638009259259</v>
      </c>
      <c r="G139" s="16"/>
      <c r="H139" s="16"/>
      <c r="I139" s="11">
        <v>153</v>
      </c>
      <c r="J139" s="54" t="str">
        <f t="shared" si="6"/>
        <v/>
      </c>
      <c r="K139" t="str">
        <f t="shared" si="7"/>
        <v/>
      </c>
      <c r="L139" t="str">
        <f t="shared" si="8"/>
        <v/>
      </c>
    </row>
    <row r="140" spans="1:12" hidden="1" x14ac:dyDescent="0.2">
      <c r="A140" s="17" t="s">
        <v>218</v>
      </c>
      <c r="B140" s="17" t="s">
        <v>37</v>
      </c>
      <c r="C140" s="16">
        <v>42626.470451388886</v>
      </c>
      <c r="D140" s="17" t="s">
        <v>5</v>
      </c>
      <c r="E140" s="17" t="s">
        <v>51</v>
      </c>
      <c r="F140" s="16">
        <v>42626.700324074074</v>
      </c>
      <c r="G140" s="16"/>
      <c r="H140" s="16"/>
      <c r="I140" s="11">
        <v>156</v>
      </c>
      <c r="J140" s="54" t="str">
        <f t="shared" si="6"/>
        <v/>
      </c>
      <c r="K140" t="str">
        <f t="shared" si="7"/>
        <v/>
      </c>
      <c r="L140" t="str">
        <f t="shared" si="8"/>
        <v/>
      </c>
    </row>
    <row r="141" spans="1:12" hidden="1" x14ac:dyDescent="0.2">
      <c r="A141" s="17" t="s">
        <v>217</v>
      </c>
      <c r="B141" s="17" t="s">
        <v>37</v>
      </c>
      <c r="C141" s="16">
        <v>42626.718402777777</v>
      </c>
      <c r="D141" s="17" t="s">
        <v>5</v>
      </c>
      <c r="E141" s="17" t="s">
        <v>40</v>
      </c>
      <c r="F141" s="16">
        <v>42626.718460648146</v>
      </c>
      <c r="G141" s="16"/>
      <c r="H141" s="16"/>
      <c r="I141" s="11">
        <v>157</v>
      </c>
      <c r="J141" s="54" t="str">
        <f t="shared" si="6"/>
        <v/>
      </c>
      <c r="K141" t="str">
        <f t="shared" si="7"/>
        <v/>
      </c>
      <c r="L141" t="str">
        <f t="shared" si="8"/>
        <v/>
      </c>
    </row>
    <row r="142" spans="1:12" hidden="1" x14ac:dyDescent="0.2">
      <c r="A142" s="17" t="s">
        <v>217</v>
      </c>
      <c r="B142" s="17" t="s">
        <v>37</v>
      </c>
      <c r="C142" s="16">
        <v>42626.718402777777</v>
      </c>
      <c r="D142" s="17" t="s">
        <v>5</v>
      </c>
      <c r="E142" s="17" t="s">
        <v>51</v>
      </c>
      <c r="F142" s="16">
        <v>42626.720902777779</v>
      </c>
      <c r="G142" s="16"/>
      <c r="H142" s="16"/>
      <c r="I142" s="11">
        <v>158</v>
      </c>
      <c r="J142" s="54" t="str">
        <f t="shared" si="6"/>
        <v/>
      </c>
      <c r="K142" t="str">
        <f t="shared" si="7"/>
        <v/>
      </c>
      <c r="L142" t="str">
        <f t="shared" si="8"/>
        <v/>
      </c>
    </row>
    <row r="143" spans="1:12" hidden="1" x14ac:dyDescent="0.2">
      <c r="A143" s="17" t="s">
        <v>216</v>
      </c>
      <c r="B143" s="17" t="s">
        <v>37</v>
      </c>
      <c r="C143" s="16">
        <v>42647.40079861111</v>
      </c>
      <c r="D143" s="17" t="s">
        <v>5</v>
      </c>
      <c r="E143" s="17" t="s">
        <v>40</v>
      </c>
      <c r="F143" s="16">
        <v>42647.40084490741</v>
      </c>
      <c r="G143" s="16"/>
      <c r="H143" s="16"/>
      <c r="I143" s="11">
        <v>159</v>
      </c>
      <c r="J143" s="54" t="str">
        <f t="shared" si="6"/>
        <v/>
      </c>
      <c r="K143" t="str">
        <f t="shared" si="7"/>
        <v/>
      </c>
      <c r="L143" t="str">
        <f t="shared" si="8"/>
        <v/>
      </c>
    </row>
    <row r="144" spans="1:12" hidden="1" x14ac:dyDescent="0.2">
      <c r="A144" s="17" t="s">
        <v>216</v>
      </c>
      <c r="B144" s="17" t="s">
        <v>37</v>
      </c>
      <c r="C144" s="16">
        <v>42647.40079861111</v>
      </c>
      <c r="D144" s="17" t="s">
        <v>5</v>
      </c>
      <c r="E144" s="17" t="s">
        <v>36</v>
      </c>
      <c r="F144" s="16">
        <v>42647.404351851852</v>
      </c>
      <c r="G144" s="16"/>
      <c r="H144" s="16"/>
      <c r="I144" s="11">
        <v>160</v>
      </c>
      <c r="J144" s="54" t="str">
        <f t="shared" si="6"/>
        <v/>
      </c>
      <c r="K144" t="str">
        <f t="shared" si="7"/>
        <v/>
      </c>
      <c r="L144" t="str">
        <f t="shared" si="8"/>
        <v/>
      </c>
    </row>
    <row r="145" spans="1:12" hidden="1" x14ac:dyDescent="0.2">
      <c r="A145" s="17" t="s">
        <v>216</v>
      </c>
      <c r="B145" s="17" t="s">
        <v>37</v>
      </c>
      <c r="C145" s="16">
        <v>42647.40079861111</v>
      </c>
      <c r="D145" s="17" t="s">
        <v>5</v>
      </c>
      <c r="E145" s="17" t="s">
        <v>213</v>
      </c>
      <c r="F145" s="16">
        <v>42647.408101851855</v>
      </c>
      <c r="G145" s="16"/>
      <c r="H145" s="16"/>
      <c r="I145" s="11">
        <v>161</v>
      </c>
      <c r="J145" s="54" t="str">
        <f t="shared" si="6"/>
        <v/>
      </c>
      <c r="K145" t="str">
        <f t="shared" si="7"/>
        <v/>
      </c>
      <c r="L145" t="str">
        <f t="shared" si="8"/>
        <v/>
      </c>
    </row>
    <row r="146" spans="1:12" hidden="1" x14ac:dyDescent="0.2">
      <c r="A146" s="17" t="s">
        <v>215</v>
      </c>
      <c r="B146" s="17" t="s">
        <v>37</v>
      </c>
      <c r="C146" s="16">
        <v>42648.397152777776</v>
      </c>
      <c r="D146" s="17" t="s">
        <v>5</v>
      </c>
      <c r="E146" s="17" t="s">
        <v>40</v>
      </c>
      <c r="F146" s="16">
        <v>42648.397199074076</v>
      </c>
      <c r="G146" s="16"/>
      <c r="H146" s="16"/>
      <c r="I146" s="11">
        <v>162</v>
      </c>
      <c r="J146" s="54" t="str">
        <f t="shared" si="6"/>
        <v/>
      </c>
      <c r="K146" t="str">
        <f t="shared" si="7"/>
        <v/>
      </c>
      <c r="L146" t="str">
        <f t="shared" si="8"/>
        <v/>
      </c>
    </row>
    <row r="147" spans="1:12" hidden="1" x14ac:dyDescent="0.2">
      <c r="A147" s="17" t="s">
        <v>215</v>
      </c>
      <c r="B147" s="17" t="s">
        <v>37</v>
      </c>
      <c r="C147" s="16">
        <v>42648.397152777776</v>
      </c>
      <c r="D147" s="17" t="s">
        <v>5</v>
      </c>
      <c r="E147" s="17" t="s">
        <v>36</v>
      </c>
      <c r="F147" s="16">
        <v>42648.407268518517</v>
      </c>
      <c r="G147" s="16"/>
      <c r="H147" s="16"/>
      <c r="I147" s="11">
        <v>163</v>
      </c>
      <c r="J147" s="54" t="str">
        <f t="shared" si="6"/>
        <v/>
      </c>
      <c r="K147" t="str">
        <f t="shared" si="7"/>
        <v/>
      </c>
      <c r="L147" t="str">
        <f t="shared" si="8"/>
        <v/>
      </c>
    </row>
    <row r="148" spans="1:12" hidden="1" x14ac:dyDescent="0.2">
      <c r="A148" s="17" t="s">
        <v>215</v>
      </c>
      <c r="B148" s="17" t="s">
        <v>37</v>
      </c>
      <c r="C148" s="16">
        <v>42648.397152777776</v>
      </c>
      <c r="D148" s="17" t="s">
        <v>5</v>
      </c>
      <c r="E148" s="17" t="s">
        <v>51</v>
      </c>
      <c r="F148" s="16">
        <v>42648.571666666663</v>
      </c>
      <c r="G148" s="16"/>
      <c r="H148" s="16"/>
      <c r="I148" s="11">
        <v>165</v>
      </c>
      <c r="J148" s="54" t="str">
        <f t="shared" si="6"/>
        <v/>
      </c>
      <c r="K148" t="str">
        <f t="shared" si="7"/>
        <v/>
      </c>
      <c r="L148" t="str">
        <f t="shared" si="8"/>
        <v/>
      </c>
    </row>
    <row r="149" spans="1:12" hidden="1" x14ac:dyDescent="0.2">
      <c r="A149" s="17" t="s">
        <v>214</v>
      </c>
      <c r="B149" s="17" t="s">
        <v>37</v>
      </c>
      <c r="C149" s="16">
        <v>42654.376192129632</v>
      </c>
      <c r="D149" s="17" t="s">
        <v>5</v>
      </c>
      <c r="E149" s="17" t="s">
        <v>40</v>
      </c>
      <c r="F149" s="16">
        <v>42654.376226851855</v>
      </c>
      <c r="G149" s="16"/>
      <c r="H149" s="16"/>
      <c r="I149" s="11">
        <v>166</v>
      </c>
      <c r="J149" s="54" t="str">
        <f t="shared" si="6"/>
        <v/>
      </c>
      <c r="K149" t="str">
        <f t="shared" si="7"/>
        <v/>
      </c>
      <c r="L149" t="str">
        <f t="shared" si="8"/>
        <v/>
      </c>
    </row>
    <row r="150" spans="1:12" hidden="1" x14ac:dyDescent="0.2">
      <c r="A150" s="17" t="s">
        <v>214</v>
      </c>
      <c r="B150" s="17" t="s">
        <v>37</v>
      </c>
      <c r="C150" s="16">
        <v>42654.376192129632</v>
      </c>
      <c r="D150" s="17" t="s">
        <v>5</v>
      </c>
      <c r="E150" s="17" t="s">
        <v>36</v>
      </c>
      <c r="F150" s="16">
        <v>42654.390011574076</v>
      </c>
      <c r="G150" s="16"/>
      <c r="H150" s="16"/>
      <c r="I150" s="11">
        <v>167</v>
      </c>
      <c r="J150" s="54" t="str">
        <f t="shared" si="6"/>
        <v/>
      </c>
      <c r="K150" t="str">
        <f t="shared" si="7"/>
        <v/>
      </c>
      <c r="L150" t="str">
        <f t="shared" si="8"/>
        <v/>
      </c>
    </row>
    <row r="151" spans="1:12" hidden="1" x14ac:dyDescent="0.2">
      <c r="A151" s="17" t="s">
        <v>214</v>
      </c>
      <c r="B151" s="17" t="s">
        <v>37</v>
      </c>
      <c r="C151" s="16">
        <v>42654.376192129632</v>
      </c>
      <c r="D151" s="17" t="s">
        <v>5</v>
      </c>
      <c r="E151" s="17" t="s">
        <v>213</v>
      </c>
      <c r="F151" s="16">
        <v>42654.392361111109</v>
      </c>
      <c r="G151" s="16"/>
      <c r="H151" s="16"/>
      <c r="I151" s="11">
        <v>168</v>
      </c>
      <c r="J151" s="54" t="str">
        <f t="shared" si="6"/>
        <v/>
      </c>
      <c r="K151" t="str">
        <f t="shared" si="7"/>
        <v/>
      </c>
      <c r="L151" t="str">
        <f t="shared" si="8"/>
        <v/>
      </c>
    </row>
    <row r="152" spans="1:12" hidden="1" x14ac:dyDescent="0.2">
      <c r="A152" s="17" t="s">
        <v>212</v>
      </c>
      <c r="B152" s="17" t="s">
        <v>37</v>
      </c>
      <c r="C152" s="16">
        <v>42656.595532407409</v>
      </c>
      <c r="D152" s="17" t="s">
        <v>5</v>
      </c>
      <c r="E152" s="17" t="s">
        <v>40</v>
      </c>
      <c r="F152" s="16">
        <v>42656.595555555556</v>
      </c>
      <c r="G152" s="16"/>
      <c r="H152" s="16"/>
      <c r="I152" s="11">
        <v>169</v>
      </c>
      <c r="J152" s="54" t="str">
        <f t="shared" si="6"/>
        <v/>
      </c>
      <c r="K152" t="str">
        <f t="shared" si="7"/>
        <v/>
      </c>
      <c r="L152" t="str">
        <f t="shared" si="8"/>
        <v/>
      </c>
    </row>
    <row r="153" spans="1:12" hidden="1" x14ac:dyDescent="0.2">
      <c r="A153" s="17" t="s">
        <v>212</v>
      </c>
      <c r="B153" s="17" t="s">
        <v>37</v>
      </c>
      <c r="C153" s="16">
        <v>42656.595532407409</v>
      </c>
      <c r="D153" s="17" t="s">
        <v>5</v>
      </c>
      <c r="E153" s="17" t="s">
        <v>36</v>
      </c>
      <c r="F153" s="16">
        <v>42656.602187500001</v>
      </c>
      <c r="G153" s="16"/>
      <c r="H153" s="16"/>
      <c r="I153" s="11">
        <v>170</v>
      </c>
      <c r="J153" s="54" t="str">
        <f t="shared" si="6"/>
        <v/>
      </c>
      <c r="K153" t="str">
        <f t="shared" si="7"/>
        <v/>
      </c>
      <c r="L153" t="str">
        <f t="shared" si="8"/>
        <v/>
      </c>
    </row>
    <row r="154" spans="1:12" hidden="1" x14ac:dyDescent="0.2">
      <c r="A154" s="17" t="s">
        <v>212</v>
      </c>
      <c r="B154" s="17" t="s">
        <v>37</v>
      </c>
      <c r="C154" s="16">
        <v>42656.595532407409</v>
      </c>
      <c r="D154" s="17" t="s">
        <v>5</v>
      </c>
      <c r="E154" s="17" t="s">
        <v>53</v>
      </c>
      <c r="F154" s="16">
        <v>42656.607824074075</v>
      </c>
      <c r="G154" s="16"/>
      <c r="H154" s="16"/>
      <c r="I154" s="11">
        <v>171</v>
      </c>
      <c r="J154" s="54" t="str">
        <f t="shared" si="6"/>
        <v/>
      </c>
      <c r="K154" t="str">
        <f t="shared" si="7"/>
        <v/>
      </c>
      <c r="L154" t="str">
        <f t="shared" si="8"/>
        <v/>
      </c>
    </row>
    <row r="155" spans="1:12" hidden="1" x14ac:dyDescent="0.2">
      <c r="A155" s="17" t="s">
        <v>212</v>
      </c>
      <c r="B155" s="17" t="s">
        <v>37</v>
      </c>
      <c r="C155" s="16">
        <v>42656.595532407409</v>
      </c>
      <c r="D155" s="17" t="s">
        <v>5</v>
      </c>
      <c r="E155" s="17" t="s">
        <v>51</v>
      </c>
      <c r="F155" s="16">
        <v>42656.623333333337</v>
      </c>
      <c r="G155" s="16"/>
      <c r="H155" s="16"/>
      <c r="I155" s="11">
        <v>173</v>
      </c>
      <c r="J155" s="54" t="str">
        <f t="shared" si="6"/>
        <v/>
      </c>
      <c r="K155" t="str">
        <f t="shared" si="7"/>
        <v/>
      </c>
      <c r="L155" t="str">
        <f t="shared" si="8"/>
        <v/>
      </c>
    </row>
    <row r="156" spans="1:12" hidden="1" x14ac:dyDescent="0.2">
      <c r="A156" s="17" t="s">
        <v>210</v>
      </c>
      <c r="B156" s="17" t="s">
        <v>37</v>
      </c>
      <c r="C156" s="16">
        <v>42657.32508101852</v>
      </c>
      <c r="D156" s="17" t="s">
        <v>5</v>
      </c>
      <c r="E156" s="17" t="s">
        <v>40</v>
      </c>
      <c r="F156" s="16">
        <v>42657.325185185182</v>
      </c>
      <c r="G156" s="16"/>
      <c r="H156" s="16"/>
      <c r="I156" s="11">
        <v>174</v>
      </c>
      <c r="J156" s="54" t="str">
        <f t="shared" si="6"/>
        <v/>
      </c>
      <c r="K156" t="str">
        <f t="shared" si="7"/>
        <v/>
      </c>
      <c r="L156" t="str">
        <f t="shared" si="8"/>
        <v/>
      </c>
    </row>
    <row r="157" spans="1:12" hidden="1" x14ac:dyDescent="0.2">
      <c r="A157" s="17" t="s">
        <v>210</v>
      </c>
      <c r="B157" s="17" t="s">
        <v>37</v>
      </c>
      <c r="C157" s="16">
        <v>42657.32508101852</v>
      </c>
      <c r="D157" s="17" t="s">
        <v>5</v>
      </c>
      <c r="E157" s="17" t="s">
        <v>36</v>
      </c>
      <c r="F157" s="16">
        <v>42657.326921296299</v>
      </c>
      <c r="G157" s="16"/>
      <c r="H157" s="16"/>
      <c r="I157" s="11">
        <v>175</v>
      </c>
      <c r="J157" s="54" t="str">
        <f t="shared" si="6"/>
        <v/>
      </c>
      <c r="K157" t="str">
        <f t="shared" si="7"/>
        <v/>
      </c>
      <c r="L157" t="str">
        <f t="shared" si="8"/>
        <v/>
      </c>
    </row>
    <row r="158" spans="1:12" hidden="1" x14ac:dyDescent="0.2">
      <c r="A158" s="17" t="s">
        <v>210</v>
      </c>
      <c r="B158" s="17" t="s">
        <v>37</v>
      </c>
      <c r="C158" s="16">
        <v>42657.32508101852</v>
      </c>
      <c r="D158" s="17" t="s">
        <v>5</v>
      </c>
      <c r="E158" s="17" t="s">
        <v>51</v>
      </c>
      <c r="F158" s="16">
        <v>42657.582962962966</v>
      </c>
      <c r="G158" s="16"/>
      <c r="H158" s="16"/>
      <c r="I158" s="11">
        <v>177</v>
      </c>
      <c r="J158" s="54" t="str">
        <f t="shared" si="6"/>
        <v/>
      </c>
      <c r="K158" t="str">
        <f t="shared" si="7"/>
        <v/>
      </c>
      <c r="L158" t="str">
        <f t="shared" si="8"/>
        <v/>
      </c>
    </row>
    <row r="159" spans="1:12" hidden="1" x14ac:dyDescent="0.2">
      <c r="A159" s="17" t="s">
        <v>209</v>
      </c>
      <c r="B159" s="17" t="s">
        <v>37</v>
      </c>
      <c r="C159" s="16">
        <v>42663.434999999998</v>
      </c>
      <c r="D159" s="17" t="s">
        <v>5</v>
      </c>
      <c r="E159" s="17" t="s">
        <v>40</v>
      </c>
      <c r="F159" s="16">
        <v>42663.435046296298</v>
      </c>
      <c r="G159" s="16"/>
      <c r="H159" s="16"/>
      <c r="I159" s="11">
        <v>178</v>
      </c>
      <c r="J159" s="54" t="str">
        <f t="shared" si="6"/>
        <v/>
      </c>
      <c r="K159" t="str">
        <f t="shared" si="7"/>
        <v/>
      </c>
      <c r="L159" t="str">
        <f t="shared" si="8"/>
        <v>NO</v>
      </c>
    </row>
    <row r="160" spans="1:12" hidden="1" x14ac:dyDescent="0.2">
      <c r="A160" s="17" t="s">
        <v>209</v>
      </c>
      <c r="B160" s="17" t="s">
        <v>37</v>
      </c>
      <c r="C160" s="16">
        <v>42663.434999999998</v>
      </c>
      <c r="D160" s="17" t="s">
        <v>5</v>
      </c>
      <c r="E160" s="17" t="s">
        <v>46</v>
      </c>
      <c r="F160" s="16">
        <v>42663.439710648148</v>
      </c>
      <c r="G160" s="16"/>
      <c r="H160" s="16"/>
      <c r="I160" s="11">
        <v>179</v>
      </c>
      <c r="J160" s="54">
        <f t="shared" si="6"/>
        <v>42663.523912037039</v>
      </c>
      <c r="K160" t="str">
        <f t="shared" si="7"/>
        <v>FAS.T2.ETOOLS</v>
      </c>
      <c r="L160" t="str">
        <f t="shared" si="8"/>
        <v>NO</v>
      </c>
    </row>
    <row r="161" spans="1:12" hidden="1" x14ac:dyDescent="0.2">
      <c r="A161" s="17" t="s">
        <v>209</v>
      </c>
      <c r="B161" s="17" t="s">
        <v>37</v>
      </c>
      <c r="C161" s="16">
        <v>42663.434999999998</v>
      </c>
      <c r="D161" s="17" t="s">
        <v>5</v>
      </c>
      <c r="E161" s="17" t="s">
        <v>51</v>
      </c>
      <c r="F161" s="16">
        <v>42663.523912037039</v>
      </c>
      <c r="G161" s="16"/>
      <c r="H161" s="16"/>
      <c r="I161" s="11">
        <v>181</v>
      </c>
      <c r="J161" s="54" t="str">
        <f t="shared" si="6"/>
        <v/>
      </c>
      <c r="K161" t="str">
        <f t="shared" si="7"/>
        <v>FAS.T2.ETOOLS</v>
      </c>
      <c r="L161" t="str">
        <f t="shared" si="8"/>
        <v>NO</v>
      </c>
    </row>
    <row r="162" spans="1:12" hidden="1" x14ac:dyDescent="0.2">
      <c r="A162" s="17" t="s">
        <v>208</v>
      </c>
      <c r="B162" s="17" t="s">
        <v>65</v>
      </c>
      <c r="C162" s="16">
        <v>42667.518877314818</v>
      </c>
      <c r="D162" s="17" t="s">
        <v>5</v>
      </c>
      <c r="E162" s="17" t="s">
        <v>40</v>
      </c>
      <c r="F162" s="16">
        <v>42667.518888888888</v>
      </c>
      <c r="G162" s="16"/>
      <c r="H162" s="16"/>
      <c r="I162" s="11">
        <v>182</v>
      </c>
      <c r="J162" s="54" t="str">
        <f t="shared" si="6"/>
        <v/>
      </c>
      <c r="K162" t="str">
        <f t="shared" si="7"/>
        <v/>
      </c>
      <c r="L162" t="str">
        <f t="shared" si="8"/>
        <v/>
      </c>
    </row>
    <row r="163" spans="1:12" hidden="1" x14ac:dyDescent="0.2">
      <c r="A163" s="17" t="s">
        <v>208</v>
      </c>
      <c r="B163" s="17" t="s">
        <v>65</v>
      </c>
      <c r="C163" s="16">
        <v>42667.518877314818</v>
      </c>
      <c r="D163" s="17" t="s">
        <v>5</v>
      </c>
      <c r="E163" s="17" t="s">
        <v>36</v>
      </c>
      <c r="F163" s="16">
        <v>42667.519571759258</v>
      </c>
      <c r="G163" s="16"/>
      <c r="H163" s="16"/>
      <c r="I163" s="11">
        <v>183</v>
      </c>
      <c r="J163" s="54" t="str">
        <f t="shared" si="6"/>
        <v/>
      </c>
      <c r="K163" t="str">
        <f t="shared" si="7"/>
        <v/>
      </c>
      <c r="L163" t="str">
        <f t="shared" si="8"/>
        <v/>
      </c>
    </row>
    <row r="164" spans="1:12" hidden="1" x14ac:dyDescent="0.2">
      <c r="A164" s="17" t="s">
        <v>208</v>
      </c>
      <c r="B164" s="17" t="s">
        <v>65</v>
      </c>
      <c r="C164" s="16">
        <v>42667.518877314818</v>
      </c>
      <c r="D164" s="17" t="s">
        <v>5</v>
      </c>
      <c r="E164" s="17" t="s">
        <v>51</v>
      </c>
      <c r="F164" s="16">
        <v>42667.533009259256</v>
      </c>
      <c r="G164" s="16"/>
      <c r="H164" s="16"/>
      <c r="I164" s="11">
        <v>184</v>
      </c>
      <c r="J164" s="54" t="str">
        <f t="shared" si="6"/>
        <v/>
      </c>
      <c r="K164" t="str">
        <f t="shared" si="7"/>
        <v/>
      </c>
      <c r="L164" t="str">
        <f t="shared" si="8"/>
        <v/>
      </c>
    </row>
    <row r="165" spans="1:12" hidden="1" x14ac:dyDescent="0.2">
      <c r="A165" s="17" t="s">
        <v>207</v>
      </c>
      <c r="B165" s="17" t="s">
        <v>37</v>
      </c>
      <c r="C165" s="16">
        <v>42667.591215277775</v>
      </c>
      <c r="D165" s="17" t="s">
        <v>5</v>
      </c>
      <c r="E165" s="17" t="s">
        <v>40</v>
      </c>
      <c r="F165" s="16">
        <v>42667.591238425928</v>
      </c>
      <c r="G165" s="16"/>
      <c r="H165" s="16"/>
      <c r="I165" s="11">
        <v>186</v>
      </c>
      <c r="J165" s="54" t="str">
        <f t="shared" si="6"/>
        <v/>
      </c>
      <c r="K165" t="str">
        <f t="shared" si="7"/>
        <v/>
      </c>
      <c r="L165" t="str">
        <f t="shared" si="8"/>
        <v>NO</v>
      </c>
    </row>
    <row r="166" spans="1:12" hidden="1" x14ac:dyDescent="0.2">
      <c r="A166" s="17" t="s">
        <v>207</v>
      </c>
      <c r="B166" s="17" t="s">
        <v>37</v>
      </c>
      <c r="C166" s="16">
        <v>42667.591215277775</v>
      </c>
      <c r="D166" s="17" t="s">
        <v>5</v>
      </c>
      <c r="E166" s="17" t="s">
        <v>36</v>
      </c>
      <c r="F166" s="16">
        <v>42667.591435185182</v>
      </c>
      <c r="G166" s="16"/>
      <c r="H166" s="16"/>
      <c r="I166" s="11">
        <v>187</v>
      </c>
      <c r="J166" s="54" t="str">
        <f t="shared" si="6"/>
        <v/>
      </c>
      <c r="K166" t="str">
        <f t="shared" si="7"/>
        <v/>
      </c>
      <c r="L166" t="str">
        <f t="shared" si="8"/>
        <v>NO</v>
      </c>
    </row>
    <row r="167" spans="1:12" hidden="1" x14ac:dyDescent="0.2">
      <c r="A167" s="17" t="s">
        <v>207</v>
      </c>
      <c r="B167" s="17" t="s">
        <v>37</v>
      </c>
      <c r="C167" s="16">
        <v>42667.591215277775</v>
      </c>
      <c r="D167" s="17" t="s">
        <v>5</v>
      </c>
      <c r="E167" s="17" t="s">
        <v>46</v>
      </c>
      <c r="F167" s="16">
        <v>42667.608993055554</v>
      </c>
      <c r="G167" s="16"/>
      <c r="H167" s="16"/>
      <c r="I167" s="11">
        <v>188</v>
      </c>
      <c r="J167" s="54">
        <f t="shared" si="6"/>
        <v>42667.649675925924</v>
      </c>
      <c r="K167" t="str">
        <f t="shared" si="7"/>
        <v>FAS.T2.ETOOLS</v>
      </c>
      <c r="L167" t="str">
        <f t="shared" si="8"/>
        <v>NO</v>
      </c>
    </row>
    <row r="168" spans="1:12" hidden="1" x14ac:dyDescent="0.2">
      <c r="A168" s="17" t="s">
        <v>207</v>
      </c>
      <c r="B168" s="17" t="s">
        <v>37</v>
      </c>
      <c r="C168" s="16">
        <v>42667.591215277775</v>
      </c>
      <c r="D168" s="17" t="s">
        <v>5</v>
      </c>
      <c r="E168" s="17" t="s">
        <v>51</v>
      </c>
      <c r="F168" s="16">
        <v>42667.649675925924</v>
      </c>
      <c r="G168" s="16"/>
      <c r="H168" s="16"/>
      <c r="I168" s="11">
        <v>190</v>
      </c>
      <c r="J168" s="54" t="str">
        <f t="shared" si="6"/>
        <v/>
      </c>
      <c r="K168" t="str">
        <f t="shared" si="7"/>
        <v>FAS.T2.ETOOLS</v>
      </c>
      <c r="L168" t="str">
        <f t="shared" si="8"/>
        <v>NO</v>
      </c>
    </row>
    <row r="169" spans="1:12" hidden="1" x14ac:dyDescent="0.2">
      <c r="A169" s="17" t="s">
        <v>206</v>
      </c>
      <c r="B169" s="17" t="s">
        <v>37</v>
      </c>
      <c r="C169" s="16">
        <v>42669.54042824074</v>
      </c>
      <c r="D169" s="17" t="s">
        <v>5</v>
      </c>
      <c r="E169" s="17" t="s">
        <v>40</v>
      </c>
      <c r="F169" s="16">
        <v>42669.540486111109</v>
      </c>
      <c r="G169" s="16"/>
      <c r="H169" s="16"/>
      <c r="I169" s="11">
        <v>191</v>
      </c>
      <c r="J169" s="54" t="str">
        <f t="shared" si="6"/>
        <v/>
      </c>
      <c r="K169" t="str">
        <f t="shared" si="7"/>
        <v/>
      </c>
      <c r="L169" t="str">
        <f t="shared" si="8"/>
        <v>NO</v>
      </c>
    </row>
    <row r="170" spans="1:12" hidden="1" x14ac:dyDescent="0.2">
      <c r="A170" s="17" t="s">
        <v>206</v>
      </c>
      <c r="B170" s="17" t="s">
        <v>37</v>
      </c>
      <c r="C170" s="16">
        <v>42669.54042824074</v>
      </c>
      <c r="D170" s="17" t="s">
        <v>5</v>
      </c>
      <c r="E170" s="17" t="s">
        <v>46</v>
      </c>
      <c r="F170" s="16">
        <v>42669.541192129633</v>
      </c>
      <c r="G170" s="16"/>
      <c r="H170" s="16"/>
      <c r="I170" s="11">
        <v>192</v>
      </c>
      <c r="J170" s="54">
        <f t="shared" si="6"/>
        <v>42669.572592592594</v>
      </c>
      <c r="K170" t="str">
        <f t="shared" si="7"/>
        <v>FAS.T2.ETOOLS</v>
      </c>
      <c r="L170" t="str">
        <f t="shared" si="8"/>
        <v>NO</v>
      </c>
    </row>
    <row r="171" spans="1:12" hidden="1" x14ac:dyDescent="0.2">
      <c r="A171" s="17" t="s">
        <v>206</v>
      </c>
      <c r="B171" s="17" t="s">
        <v>37</v>
      </c>
      <c r="C171" s="16">
        <v>42669.54042824074</v>
      </c>
      <c r="D171" s="17" t="s">
        <v>5</v>
      </c>
      <c r="E171" s="17" t="s">
        <v>36</v>
      </c>
      <c r="F171" s="16">
        <v>42669.572592592594</v>
      </c>
      <c r="G171" s="16"/>
      <c r="H171" s="16"/>
      <c r="I171" s="11">
        <v>194</v>
      </c>
      <c r="J171" s="54" t="str">
        <f t="shared" si="6"/>
        <v/>
      </c>
      <c r="K171" t="str">
        <f t="shared" si="7"/>
        <v>FAS.T2.ETOOLS</v>
      </c>
      <c r="L171" t="str">
        <f t="shared" si="8"/>
        <v>NO</v>
      </c>
    </row>
    <row r="172" spans="1:12" hidden="1" x14ac:dyDescent="0.2">
      <c r="A172" s="17" t="s">
        <v>206</v>
      </c>
      <c r="B172" s="17" t="s">
        <v>37</v>
      </c>
      <c r="C172" s="16">
        <v>42669.54042824074</v>
      </c>
      <c r="D172" s="17" t="s">
        <v>5</v>
      </c>
      <c r="E172" s="17" t="s">
        <v>51</v>
      </c>
      <c r="F172" s="16">
        <v>42669.594733796293</v>
      </c>
      <c r="G172" s="16"/>
      <c r="H172" s="16"/>
      <c r="I172" s="11">
        <v>195</v>
      </c>
      <c r="J172" s="54" t="str">
        <f t="shared" si="6"/>
        <v/>
      </c>
      <c r="K172" t="str">
        <f t="shared" si="7"/>
        <v>FAS.T2.ETOOLS</v>
      </c>
      <c r="L172" t="str">
        <f t="shared" si="8"/>
        <v>NO</v>
      </c>
    </row>
    <row r="173" spans="1:12" hidden="1" x14ac:dyDescent="0.2">
      <c r="A173" s="17" t="s">
        <v>205</v>
      </c>
      <c r="B173" s="17" t="s">
        <v>37</v>
      </c>
      <c r="C173" s="16">
        <v>42670.534872685188</v>
      </c>
      <c r="D173" s="17" t="s">
        <v>5</v>
      </c>
      <c r="E173" s="17" t="s">
        <v>40</v>
      </c>
      <c r="F173" s="16">
        <v>42670.534930555557</v>
      </c>
      <c r="G173" s="16"/>
      <c r="H173" s="16"/>
      <c r="I173" s="11">
        <v>196</v>
      </c>
      <c r="J173" s="54" t="str">
        <f t="shared" si="6"/>
        <v/>
      </c>
      <c r="K173" t="str">
        <f t="shared" si="7"/>
        <v/>
      </c>
      <c r="L173" t="str">
        <f t="shared" si="8"/>
        <v/>
      </c>
    </row>
    <row r="174" spans="1:12" hidden="1" x14ac:dyDescent="0.2">
      <c r="A174" s="17" t="s">
        <v>205</v>
      </c>
      <c r="B174" s="17" t="s">
        <v>37</v>
      </c>
      <c r="C174" s="16">
        <v>42670.534872685188</v>
      </c>
      <c r="D174" s="17" t="s">
        <v>5</v>
      </c>
      <c r="E174" s="17" t="s">
        <v>36</v>
      </c>
      <c r="F174" s="16">
        <v>42670.537754629629</v>
      </c>
      <c r="G174" s="16"/>
      <c r="H174" s="16"/>
      <c r="I174" s="11">
        <v>197</v>
      </c>
      <c r="J174" s="54" t="str">
        <f t="shared" si="6"/>
        <v/>
      </c>
      <c r="K174" t="str">
        <f t="shared" si="7"/>
        <v/>
      </c>
      <c r="L174" t="str">
        <f t="shared" si="8"/>
        <v/>
      </c>
    </row>
    <row r="175" spans="1:12" hidden="1" x14ac:dyDescent="0.2">
      <c r="A175" s="17" t="s">
        <v>205</v>
      </c>
      <c r="B175" s="17" t="s">
        <v>37</v>
      </c>
      <c r="C175" s="16">
        <v>42670.534872685188</v>
      </c>
      <c r="D175" s="17" t="s">
        <v>5</v>
      </c>
      <c r="E175" s="17" t="s">
        <v>51</v>
      </c>
      <c r="F175" s="16">
        <v>42670.582488425927</v>
      </c>
      <c r="G175" s="16"/>
      <c r="H175" s="16"/>
      <c r="I175" s="11">
        <v>199</v>
      </c>
      <c r="J175" s="54" t="str">
        <f t="shared" si="6"/>
        <v/>
      </c>
      <c r="K175" t="str">
        <f t="shared" si="7"/>
        <v/>
      </c>
      <c r="L175" t="str">
        <f t="shared" si="8"/>
        <v/>
      </c>
    </row>
    <row r="176" spans="1:12" hidden="1" x14ac:dyDescent="0.2">
      <c r="A176" s="17" t="s">
        <v>204</v>
      </c>
      <c r="B176" s="17" t="s">
        <v>37</v>
      </c>
      <c r="C176" s="16">
        <v>42674.364745370367</v>
      </c>
      <c r="D176" s="17" t="s">
        <v>5</v>
      </c>
      <c r="E176" s="17" t="s">
        <v>40</v>
      </c>
      <c r="F176" s="16">
        <v>42674.364791666667</v>
      </c>
      <c r="G176" s="16"/>
      <c r="H176" s="16"/>
      <c r="I176" s="11">
        <v>200</v>
      </c>
      <c r="J176" s="54" t="str">
        <f t="shared" si="6"/>
        <v/>
      </c>
      <c r="K176" t="str">
        <f t="shared" si="7"/>
        <v/>
      </c>
      <c r="L176" t="str">
        <f t="shared" si="8"/>
        <v>NO</v>
      </c>
    </row>
    <row r="177" spans="1:12" hidden="1" x14ac:dyDescent="0.2">
      <c r="A177" s="17" t="s">
        <v>204</v>
      </c>
      <c r="B177" s="17" t="s">
        <v>37</v>
      </c>
      <c r="C177" s="16">
        <v>42674.364745370367</v>
      </c>
      <c r="D177" s="17" t="s">
        <v>5</v>
      </c>
      <c r="E177" s="17" t="s">
        <v>46</v>
      </c>
      <c r="F177" s="16">
        <v>42674.368784722225</v>
      </c>
      <c r="G177" s="16"/>
      <c r="H177" s="16"/>
      <c r="I177" s="11">
        <v>201</v>
      </c>
      <c r="J177" s="54">
        <f t="shared" si="6"/>
        <v>42674.393229166664</v>
      </c>
      <c r="K177" t="str">
        <f t="shared" si="7"/>
        <v>FAS.T2.ETOOLS</v>
      </c>
      <c r="L177" t="str">
        <f t="shared" si="8"/>
        <v>NO</v>
      </c>
    </row>
    <row r="178" spans="1:12" hidden="1" x14ac:dyDescent="0.2">
      <c r="A178" s="17" t="s">
        <v>204</v>
      </c>
      <c r="B178" s="17" t="s">
        <v>37</v>
      </c>
      <c r="C178" s="16">
        <v>42674.364745370367</v>
      </c>
      <c r="D178" s="17" t="s">
        <v>5</v>
      </c>
      <c r="E178" s="17" t="s">
        <v>51</v>
      </c>
      <c r="F178" s="16">
        <v>42674.393229166664</v>
      </c>
      <c r="G178" s="16"/>
      <c r="H178" s="16"/>
      <c r="I178" s="11">
        <v>203</v>
      </c>
      <c r="J178" s="54" t="str">
        <f t="shared" si="6"/>
        <v/>
      </c>
      <c r="K178" t="str">
        <f t="shared" si="7"/>
        <v>FAS.T2.ETOOLS</v>
      </c>
      <c r="L178" t="str">
        <f t="shared" si="8"/>
        <v>NO</v>
      </c>
    </row>
    <row r="179" spans="1:12" hidden="1" x14ac:dyDescent="0.2">
      <c r="A179" s="17" t="s">
        <v>203</v>
      </c>
      <c r="B179" s="17" t="s">
        <v>37</v>
      </c>
      <c r="C179" s="16">
        <v>42676.532268518517</v>
      </c>
      <c r="D179" s="17" t="s">
        <v>5</v>
      </c>
      <c r="E179" s="17" t="s">
        <v>40</v>
      </c>
      <c r="F179" s="16">
        <v>42676.532337962963</v>
      </c>
      <c r="G179" s="16"/>
      <c r="H179" s="16"/>
      <c r="I179" s="11">
        <v>204</v>
      </c>
      <c r="J179" s="54" t="str">
        <f t="shared" si="6"/>
        <v/>
      </c>
      <c r="K179" t="str">
        <f t="shared" si="7"/>
        <v/>
      </c>
      <c r="L179" t="str">
        <f t="shared" si="8"/>
        <v/>
      </c>
    </row>
    <row r="180" spans="1:12" hidden="1" x14ac:dyDescent="0.2">
      <c r="A180" s="17" t="s">
        <v>203</v>
      </c>
      <c r="B180" s="17" t="s">
        <v>37</v>
      </c>
      <c r="C180" s="16">
        <v>42676.532268518517</v>
      </c>
      <c r="D180" s="17" t="s">
        <v>5</v>
      </c>
      <c r="E180" s="17" t="s">
        <v>36</v>
      </c>
      <c r="F180" s="16">
        <v>42676.534178240741</v>
      </c>
      <c r="G180" s="16"/>
      <c r="H180" s="16"/>
      <c r="I180" s="11">
        <v>205</v>
      </c>
      <c r="J180" s="54" t="str">
        <f t="shared" si="6"/>
        <v/>
      </c>
      <c r="K180" t="str">
        <f t="shared" si="7"/>
        <v/>
      </c>
      <c r="L180" t="str">
        <f t="shared" si="8"/>
        <v/>
      </c>
    </row>
    <row r="181" spans="1:12" hidden="1" x14ac:dyDescent="0.2">
      <c r="A181" s="17" t="s">
        <v>203</v>
      </c>
      <c r="B181" s="17" t="s">
        <v>37</v>
      </c>
      <c r="C181" s="16">
        <v>42676.532268518517</v>
      </c>
      <c r="D181" s="17" t="s">
        <v>5</v>
      </c>
      <c r="E181" s="17" t="s">
        <v>51</v>
      </c>
      <c r="F181" s="16">
        <v>42676.563391203701</v>
      </c>
      <c r="G181" s="16"/>
      <c r="H181" s="16"/>
      <c r="I181" s="11">
        <v>206</v>
      </c>
      <c r="J181" s="54" t="str">
        <f t="shared" si="6"/>
        <v/>
      </c>
      <c r="K181" t="str">
        <f t="shared" si="7"/>
        <v/>
      </c>
      <c r="L181" t="str">
        <f t="shared" si="8"/>
        <v/>
      </c>
    </row>
    <row r="182" spans="1:12" hidden="1" x14ac:dyDescent="0.2">
      <c r="A182" s="17" t="s">
        <v>202</v>
      </c>
      <c r="B182" s="17" t="s">
        <v>37</v>
      </c>
      <c r="C182" s="16">
        <v>42691.546643518515</v>
      </c>
      <c r="D182" s="17" t="s">
        <v>5</v>
      </c>
      <c r="E182" s="17" t="s">
        <v>40</v>
      </c>
      <c r="F182" s="16">
        <v>42691.546678240738</v>
      </c>
      <c r="G182" s="16"/>
      <c r="H182" s="16"/>
      <c r="I182" s="11">
        <v>207</v>
      </c>
      <c r="J182" s="54" t="str">
        <f t="shared" si="6"/>
        <v/>
      </c>
      <c r="K182" t="str">
        <f t="shared" si="7"/>
        <v/>
      </c>
      <c r="L182" t="str">
        <f t="shared" si="8"/>
        <v>NO</v>
      </c>
    </row>
    <row r="183" spans="1:12" hidden="1" x14ac:dyDescent="0.2">
      <c r="A183" s="17" t="s">
        <v>202</v>
      </c>
      <c r="B183" s="17" t="s">
        <v>37</v>
      </c>
      <c r="C183" s="16">
        <v>42691.546643518515</v>
      </c>
      <c r="D183" s="17" t="s">
        <v>5</v>
      </c>
      <c r="E183" s="17" t="s">
        <v>46</v>
      </c>
      <c r="F183" s="16">
        <v>42691.547407407408</v>
      </c>
      <c r="G183" s="16"/>
      <c r="H183" s="16"/>
      <c r="I183" s="11">
        <v>208</v>
      </c>
      <c r="J183" s="54">
        <f t="shared" si="6"/>
        <v>42691.668576388889</v>
      </c>
      <c r="K183" t="str">
        <f t="shared" si="7"/>
        <v>FAS.T2.ETOOLS</v>
      </c>
      <c r="L183" t="str">
        <f t="shared" si="8"/>
        <v>NO</v>
      </c>
    </row>
    <row r="184" spans="1:12" hidden="1" x14ac:dyDescent="0.2">
      <c r="A184" s="17" t="s">
        <v>202</v>
      </c>
      <c r="B184" s="17" t="s">
        <v>37</v>
      </c>
      <c r="C184" s="16">
        <v>42691.546643518515</v>
      </c>
      <c r="D184" s="17" t="s">
        <v>5</v>
      </c>
      <c r="E184" s="17" t="s">
        <v>51</v>
      </c>
      <c r="F184" s="16">
        <v>42691.668576388889</v>
      </c>
      <c r="G184" s="16"/>
      <c r="H184" s="16"/>
      <c r="I184" s="11">
        <v>210</v>
      </c>
      <c r="J184" s="54" t="str">
        <f t="shared" si="6"/>
        <v/>
      </c>
      <c r="K184" t="str">
        <f t="shared" si="7"/>
        <v>FAS.T2.ETOOLS</v>
      </c>
      <c r="L184" t="str">
        <f t="shared" si="8"/>
        <v>NO</v>
      </c>
    </row>
    <row r="185" spans="1:12" hidden="1" x14ac:dyDescent="0.2">
      <c r="A185" s="17" t="s">
        <v>201</v>
      </c>
      <c r="B185" s="17" t="s">
        <v>37</v>
      </c>
      <c r="C185" s="16">
        <v>42705.547777777778</v>
      </c>
      <c r="D185" s="17" t="s">
        <v>5</v>
      </c>
      <c r="E185" s="17" t="s">
        <v>40</v>
      </c>
      <c r="F185" s="16">
        <v>42705.547881944447</v>
      </c>
      <c r="G185" s="16"/>
      <c r="H185" s="16"/>
      <c r="I185" s="11">
        <v>211</v>
      </c>
      <c r="J185" s="54" t="str">
        <f t="shared" si="6"/>
        <v/>
      </c>
      <c r="K185" t="str">
        <f t="shared" si="7"/>
        <v/>
      </c>
      <c r="L185" t="str">
        <f t="shared" si="8"/>
        <v/>
      </c>
    </row>
    <row r="186" spans="1:12" hidden="1" x14ac:dyDescent="0.2">
      <c r="A186" s="17" t="s">
        <v>201</v>
      </c>
      <c r="B186" s="17" t="s">
        <v>37</v>
      </c>
      <c r="C186" s="16">
        <v>42705.547777777778</v>
      </c>
      <c r="D186" s="17" t="s">
        <v>5</v>
      </c>
      <c r="E186" s="17" t="s">
        <v>90</v>
      </c>
      <c r="F186" s="16">
        <v>42705.549386574072</v>
      </c>
      <c r="G186" s="16"/>
      <c r="H186" s="16"/>
      <c r="I186" s="11">
        <v>212</v>
      </c>
      <c r="J186" s="54" t="str">
        <f t="shared" si="6"/>
        <v/>
      </c>
      <c r="K186" t="str">
        <f t="shared" si="7"/>
        <v/>
      </c>
      <c r="L186" t="str">
        <f t="shared" si="8"/>
        <v/>
      </c>
    </row>
    <row r="187" spans="1:12" hidden="1" x14ac:dyDescent="0.2">
      <c r="A187" s="17" t="s">
        <v>201</v>
      </c>
      <c r="B187" s="17" t="s">
        <v>37</v>
      </c>
      <c r="C187" s="16">
        <v>42705.547777777778</v>
      </c>
      <c r="D187" s="17" t="s">
        <v>5</v>
      </c>
      <c r="E187" s="17" t="s">
        <v>36</v>
      </c>
      <c r="F187" s="16">
        <v>42710.350370370368</v>
      </c>
      <c r="G187" s="16"/>
      <c r="H187" s="16"/>
      <c r="I187" s="11">
        <v>214</v>
      </c>
      <c r="J187" s="54" t="str">
        <f t="shared" si="6"/>
        <v/>
      </c>
      <c r="K187" t="str">
        <f t="shared" si="7"/>
        <v/>
      </c>
      <c r="L187" t="str">
        <f t="shared" si="8"/>
        <v/>
      </c>
    </row>
    <row r="188" spans="1:12" hidden="1" x14ac:dyDescent="0.2">
      <c r="A188" s="17" t="s">
        <v>201</v>
      </c>
      <c r="B188" s="17" t="s">
        <v>37</v>
      </c>
      <c r="C188" s="16">
        <v>42705.547777777778</v>
      </c>
      <c r="D188" s="17" t="s">
        <v>5</v>
      </c>
      <c r="E188" s="17" t="s">
        <v>51</v>
      </c>
      <c r="F188" s="16">
        <v>42710.370150462964</v>
      </c>
      <c r="G188" s="16"/>
      <c r="H188" s="16"/>
      <c r="I188" s="11">
        <v>216</v>
      </c>
      <c r="J188" s="54" t="str">
        <f t="shared" si="6"/>
        <v/>
      </c>
      <c r="K188" t="str">
        <f t="shared" si="7"/>
        <v/>
      </c>
      <c r="L188" t="str">
        <f t="shared" si="8"/>
        <v/>
      </c>
    </row>
    <row r="189" spans="1:12" hidden="1" x14ac:dyDescent="0.2">
      <c r="A189" s="17" t="s">
        <v>201</v>
      </c>
      <c r="B189" s="17" t="s">
        <v>37</v>
      </c>
      <c r="C189" s="16">
        <v>42705.547777777778</v>
      </c>
      <c r="D189" s="17" t="s">
        <v>5</v>
      </c>
      <c r="E189" s="17" t="s">
        <v>36</v>
      </c>
      <c r="F189" s="16">
        <v>42710.378148148149</v>
      </c>
      <c r="G189" s="16"/>
      <c r="H189" s="16"/>
      <c r="I189" s="11">
        <v>217</v>
      </c>
      <c r="J189" s="54" t="str">
        <f t="shared" si="6"/>
        <v/>
      </c>
      <c r="K189" t="str">
        <f t="shared" si="7"/>
        <v/>
      </c>
      <c r="L189" t="str">
        <f t="shared" si="8"/>
        <v/>
      </c>
    </row>
    <row r="190" spans="1:12" hidden="1" x14ac:dyDescent="0.2">
      <c r="A190" s="17" t="s">
        <v>201</v>
      </c>
      <c r="B190" s="17" t="s">
        <v>37</v>
      </c>
      <c r="C190" s="16">
        <v>42705.547777777778</v>
      </c>
      <c r="D190" s="17" t="s">
        <v>5</v>
      </c>
      <c r="E190" s="17" t="s">
        <v>51</v>
      </c>
      <c r="F190" s="16">
        <v>42710.378437500003</v>
      </c>
      <c r="G190" s="16"/>
      <c r="H190" s="16"/>
      <c r="I190" s="11">
        <v>218</v>
      </c>
      <c r="J190" s="54" t="str">
        <f t="shared" si="6"/>
        <v/>
      </c>
      <c r="K190" t="str">
        <f t="shared" si="7"/>
        <v/>
      </c>
      <c r="L190" t="str">
        <f t="shared" si="8"/>
        <v/>
      </c>
    </row>
    <row r="191" spans="1:12" hidden="1" x14ac:dyDescent="0.2">
      <c r="A191" s="17" t="s">
        <v>199</v>
      </c>
      <c r="B191" s="17" t="s">
        <v>37</v>
      </c>
      <c r="C191" s="16">
        <v>42720.342789351853</v>
      </c>
      <c r="D191" s="17" t="s">
        <v>5</v>
      </c>
      <c r="E191" s="17" t="s">
        <v>40</v>
      </c>
      <c r="F191" s="16">
        <v>42720.342835648145</v>
      </c>
      <c r="G191" s="16"/>
      <c r="H191" s="16"/>
      <c r="I191" s="11">
        <v>219</v>
      </c>
      <c r="J191" s="54" t="str">
        <f t="shared" si="6"/>
        <v/>
      </c>
      <c r="K191" t="str">
        <f t="shared" si="7"/>
        <v/>
      </c>
      <c r="L191" t="str">
        <f t="shared" si="8"/>
        <v>NO</v>
      </c>
    </row>
    <row r="192" spans="1:12" hidden="1" x14ac:dyDescent="0.2">
      <c r="A192" s="17" t="s">
        <v>199</v>
      </c>
      <c r="B192" s="17" t="s">
        <v>37</v>
      </c>
      <c r="C192" s="16">
        <v>42720.342789351853</v>
      </c>
      <c r="D192" s="17" t="s">
        <v>5</v>
      </c>
      <c r="E192" s="17" t="s">
        <v>200</v>
      </c>
      <c r="F192" s="16">
        <v>42720.34646990741</v>
      </c>
      <c r="G192" s="16"/>
      <c r="H192" s="16"/>
      <c r="I192" s="11">
        <v>220</v>
      </c>
      <c r="J192" s="54" t="str">
        <f t="shared" si="6"/>
        <v/>
      </c>
      <c r="K192" t="str">
        <f t="shared" si="7"/>
        <v/>
      </c>
      <c r="L192" t="str">
        <f t="shared" si="8"/>
        <v>NO</v>
      </c>
    </row>
    <row r="193" spans="1:12" hidden="1" x14ac:dyDescent="0.2">
      <c r="A193" s="17" t="s">
        <v>199</v>
      </c>
      <c r="B193" s="17" t="s">
        <v>37</v>
      </c>
      <c r="C193" s="16">
        <v>42720.342789351853</v>
      </c>
      <c r="D193" s="17" t="s">
        <v>5</v>
      </c>
      <c r="E193" s="17" t="s">
        <v>46</v>
      </c>
      <c r="F193" s="16">
        <v>42720.42597222222</v>
      </c>
      <c r="G193" s="16"/>
      <c r="H193" s="16"/>
      <c r="I193" s="11">
        <v>221</v>
      </c>
      <c r="J193" s="54">
        <f t="shared" si="6"/>
        <v>42720.430219907408</v>
      </c>
      <c r="K193" t="str">
        <f t="shared" si="7"/>
        <v>FAS.T2.ETOOLS</v>
      </c>
      <c r="L193" t="str">
        <f t="shared" si="8"/>
        <v>NO</v>
      </c>
    </row>
    <row r="194" spans="1:12" hidden="1" x14ac:dyDescent="0.2">
      <c r="A194" s="17" t="s">
        <v>199</v>
      </c>
      <c r="B194" s="17" t="s">
        <v>37</v>
      </c>
      <c r="C194" s="16">
        <v>42720.342789351853</v>
      </c>
      <c r="D194" s="17" t="s">
        <v>5</v>
      </c>
      <c r="E194" s="17" t="s">
        <v>51</v>
      </c>
      <c r="F194" s="16">
        <v>42720.430219907408</v>
      </c>
      <c r="G194" s="16"/>
      <c r="H194" s="16"/>
      <c r="I194" s="11">
        <v>223</v>
      </c>
      <c r="J194" s="54" t="str">
        <f t="shared" ref="J194:J257" si="9">IF(AND(A194=A195,E194="FAS.T2.ETOOLS",E195&lt;&gt;"FAS.T2.ETOOLS"),F195, "")</f>
        <v/>
      </c>
      <c r="K194" t="str">
        <f t="shared" ref="K194:K257" si="10">IF(OR(AND(A194=A193, E194="FAS.T2.ETOOLS"),AND(A194=A193, K193="FAS.T2.ETOOLS")), "FAS.T2.ETOOLS", "")</f>
        <v>FAS.T2.ETOOLS</v>
      </c>
      <c r="L194" t="str">
        <f t="shared" ref="L194:L257" si="11">IF(AND(A194&lt;&gt;A195, E194&lt;&gt;"FAS.T2.ETOOLS", K194="FAS.T2.ETOOLS"), "NO", IF(AND(A194=A195,L195="NO"), "NO", ""))</f>
        <v>NO</v>
      </c>
    </row>
    <row r="195" spans="1:12" hidden="1" x14ac:dyDescent="0.2">
      <c r="A195" s="17" t="s">
        <v>198</v>
      </c>
      <c r="B195" s="17" t="s">
        <v>37</v>
      </c>
      <c r="C195" s="16">
        <v>42731.363611111112</v>
      </c>
      <c r="D195" s="17" t="s">
        <v>5</v>
      </c>
      <c r="E195" s="17" t="s">
        <v>40</v>
      </c>
      <c r="F195" s="16">
        <v>42731.363634259258</v>
      </c>
      <c r="G195" s="16"/>
      <c r="H195" s="16"/>
      <c r="I195" s="11">
        <v>224</v>
      </c>
      <c r="J195" s="54" t="str">
        <f t="shared" si="9"/>
        <v/>
      </c>
      <c r="K195" t="str">
        <f t="shared" si="10"/>
        <v/>
      </c>
      <c r="L195" t="str">
        <f t="shared" si="11"/>
        <v/>
      </c>
    </row>
    <row r="196" spans="1:12" hidden="1" x14ac:dyDescent="0.2">
      <c r="A196" s="17" t="s">
        <v>198</v>
      </c>
      <c r="B196" s="17" t="s">
        <v>37</v>
      </c>
      <c r="C196" s="16">
        <v>42731.363611111112</v>
      </c>
      <c r="D196" s="17" t="s">
        <v>5</v>
      </c>
      <c r="E196" s="17" t="s">
        <v>36</v>
      </c>
      <c r="F196" s="16">
        <v>42731.367048611108</v>
      </c>
      <c r="G196" s="16"/>
      <c r="H196" s="16"/>
      <c r="I196" s="11">
        <v>225</v>
      </c>
      <c r="J196" s="54" t="str">
        <f t="shared" si="9"/>
        <v/>
      </c>
      <c r="K196" t="str">
        <f t="shared" si="10"/>
        <v/>
      </c>
      <c r="L196" t="str">
        <f t="shared" si="11"/>
        <v/>
      </c>
    </row>
    <row r="197" spans="1:12" hidden="1" x14ac:dyDescent="0.2">
      <c r="A197" s="17" t="s">
        <v>198</v>
      </c>
      <c r="B197" s="17" t="s">
        <v>37</v>
      </c>
      <c r="C197" s="16">
        <v>42731.363611111112</v>
      </c>
      <c r="D197" s="17" t="s">
        <v>5</v>
      </c>
      <c r="E197" s="17" t="s">
        <v>51</v>
      </c>
      <c r="F197" s="16">
        <v>42734.379872685182</v>
      </c>
      <c r="G197" s="16"/>
      <c r="H197" s="16"/>
      <c r="I197" s="11">
        <v>227</v>
      </c>
      <c r="J197" s="54" t="str">
        <f t="shared" si="9"/>
        <v/>
      </c>
      <c r="K197" t="str">
        <f t="shared" si="10"/>
        <v/>
      </c>
      <c r="L197" t="str">
        <f t="shared" si="11"/>
        <v/>
      </c>
    </row>
    <row r="198" spans="1:12" hidden="1" x14ac:dyDescent="0.2">
      <c r="A198" s="17" t="s">
        <v>197</v>
      </c>
      <c r="B198" s="17" t="s">
        <v>37</v>
      </c>
      <c r="C198" s="16">
        <v>42734.394490740742</v>
      </c>
      <c r="D198" s="17" t="s">
        <v>5</v>
      </c>
      <c r="E198" s="17" t="s">
        <v>40</v>
      </c>
      <c r="F198" s="16">
        <v>42734.394502314812</v>
      </c>
      <c r="G198" s="16"/>
      <c r="H198" s="16"/>
      <c r="I198" s="11">
        <v>228</v>
      </c>
      <c r="J198" s="54" t="str">
        <f t="shared" si="9"/>
        <v/>
      </c>
      <c r="K198" t="str">
        <f t="shared" si="10"/>
        <v/>
      </c>
      <c r="L198" t="str">
        <f t="shared" si="11"/>
        <v/>
      </c>
    </row>
    <row r="199" spans="1:12" hidden="1" x14ac:dyDescent="0.2">
      <c r="A199" s="17" t="s">
        <v>197</v>
      </c>
      <c r="B199" s="17" t="s">
        <v>37</v>
      </c>
      <c r="C199" s="16">
        <v>42734.394490740742</v>
      </c>
      <c r="D199" s="17" t="s">
        <v>5</v>
      </c>
      <c r="E199" s="17" t="s">
        <v>51</v>
      </c>
      <c r="F199" s="16">
        <v>42734.395069444443</v>
      </c>
      <c r="G199" s="16"/>
      <c r="H199" s="16"/>
      <c r="I199" s="11">
        <v>229</v>
      </c>
      <c r="J199" s="54" t="str">
        <f t="shared" si="9"/>
        <v/>
      </c>
      <c r="K199" t="str">
        <f t="shared" si="10"/>
        <v/>
      </c>
      <c r="L199" t="str">
        <f t="shared" si="11"/>
        <v/>
      </c>
    </row>
    <row r="200" spans="1:12" hidden="1" x14ac:dyDescent="0.2">
      <c r="A200" s="17" t="s">
        <v>196</v>
      </c>
      <c r="B200" s="17" t="s">
        <v>37</v>
      </c>
      <c r="C200" s="16">
        <v>42744.474699074075</v>
      </c>
      <c r="D200" s="17" t="s">
        <v>5</v>
      </c>
      <c r="E200" s="17" t="s">
        <v>40</v>
      </c>
      <c r="F200" s="16">
        <v>42744.474722222221</v>
      </c>
      <c r="G200" s="16"/>
      <c r="H200" s="16"/>
      <c r="I200" s="11">
        <v>230</v>
      </c>
      <c r="J200" s="54" t="str">
        <f t="shared" si="9"/>
        <v/>
      </c>
      <c r="K200" t="str">
        <f t="shared" si="10"/>
        <v/>
      </c>
      <c r="L200" t="str">
        <f t="shared" si="11"/>
        <v/>
      </c>
    </row>
    <row r="201" spans="1:12" hidden="1" x14ac:dyDescent="0.2">
      <c r="A201" s="17" t="s">
        <v>196</v>
      </c>
      <c r="B201" s="17" t="s">
        <v>37</v>
      </c>
      <c r="C201" s="16">
        <v>42744.474699074075</v>
      </c>
      <c r="D201" s="17" t="s">
        <v>5</v>
      </c>
      <c r="E201" s="17" t="s">
        <v>51</v>
      </c>
      <c r="F201" s="16">
        <v>42744.485254629632</v>
      </c>
      <c r="G201" s="16"/>
      <c r="H201" s="16"/>
      <c r="I201" s="11">
        <v>231</v>
      </c>
      <c r="J201" s="54" t="str">
        <f t="shared" si="9"/>
        <v/>
      </c>
      <c r="K201" t="str">
        <f t="shared" si="10"/>
        <v/>
      </c>
      <c r="L201" t="str">
        <f t="shared" si="11"/>
        <v/>
      </c>
    </row>
    <row r="202" spans="1:12" hidden="1" x14ac:dyDescent="0.2">
      <c r="A202" s="17" t="s">
        <v>195</v>
      </c>
      <c r="B202" s="17" t="s">
        <v>37</v>
      </c>
      <c r="C202" s="16">
        <v>42758.690960648149</v>
      </c>
      <c r="D202" s="17" t="s">
        <v>5</v>
      </c>
      <c r="E202" s="17" t="s">
        <v>40</v>
      </c>
      <c r="F202" s="16">
        <v>42758.690972222219</v>
      </c>
      <c r="G202" s="16"/>
      <c r="H202" s="16"/>
      <c r="I202" s="11">
        <v>232</v>
      </c>
      <c r="J202" s="54" t="str">
        <f t="shared" si="9"/>
        <v/>
      </c>
      <c r="K202" t="str">
        <f t="shared" si="10"/>
        <v/>
      </c>
      <c r="L202" t="str">
        <f t="shared" si="11"/>
        <v/>
      </c>
    </row>
    <row r="203" spans="1:12" hidden="1" x14ac:dyDescent="0.2">
      <c r="A203" s="17" t="s">
        <v>195</v>
      </c>
      <c r="B203" s="17" t="s">
        <v>37</v>
      </c>
      <c r="C203" s="16">
        <v>42758.690960648149</v>
      </c>
      <c r="D203" s="17" t="s">
        <v>5</v>
      </c>
      <c r="E203" s="17" t="s">
        <v>36</v>
      </c>
      <c r="F203" s="16">
        <v>42758.694456018522</v>
      </c>
      <c r="G203" s="16"/>
      <c r="H203" s="16"/>
      <c r="I203" s="11">
        <v>233</v>
      </c>
      <c r="J203" s="54" t="str">
        <f t="shared" si="9"/>
        <v/>
      </c>
      <c r="K203" t="str">
        <f t="shared" si="10"/>
        <v/>
      </c>
      <c r="L203" t="str">
        <f t="shared" si="11"/>
        <v/>
      </c>
    </row>
    <row r="204" spans="1:12" hidden="1" x14ac:dyDescent="0.2">
      <c r="A204" s="17" t="s">
        <v>195</v>
      </c>
      <c r="B204" s="17" t="s">
        <v>37</v>
      </c>
      <c r="C204" s="16">
        <v>42758.690960648149</v>
      </c>
      <c r="D204" s="17" t="s">
        <v>5</v>
      </c>
      <c r="E204" s="17" t="s">
        <v>51</v>
      </c>
      <c r="F204" s="16">
        <v>42761.442175925928</v>
      </c>
      <c r="G204" s="16"/>
      <c r="H204" s="16"/>
      <c r="I204" s="11">
        <v>235</v>
      </c>
      <c r="J204" s="54" t="str">
        <f t="shared" si="9"/>
        <v/>
      </c>
      <c r="K204" t="str">
        <f t="shared" si="10"/>
        <v/>
      </c>
      <c r="L204" t="str">
        <f t="shared" si="11"/>
        <v/>
      </c>
    </row>
    <row r="205" spans="1:12" hidden="1" x14ac:dyDescent="0.2">
      <c r="A205" s="17" t="s">
        <v>193</v>
      </c>
      <c r="B205" s="17" t="s">
        <v>65</v>
      </c>
      <c r="C205" s="16">
        <v>42760.494085648148</v>
      </c>
      <c r="D205" s="17" t="s">
        <v>5</v>
      </c>
      <c r="E205" s="17" t="s">
        <v>40</v>
      </c>
      <c r="F205" s="16">
        <v>42760.494131944448</v>
      </c>
      <c r="G205" s="16"/>
      <c r="H205" s="16"/>
      <c r="I205" s="11">
        <v>236</v>
      </c>
      <c r="J205" s="54" t="str">
        <f t="shared" si="9"/>
        <v/>
      </c>
      <c r="K205" t="str">
        <f t="shared" si="10"/>
        <v/>
      </c>
      <c r="L205" t="str">
        <f t="shared" si="11"/>
        <v>NO</v>
      </c>
    </row>
    <row r="206" spans="1:12" hidden="1" x14ac:dyDescent="0.2">
      <c r="A206" s="17" t="s">
        <v>193</v>
      </c>
      <c r="B206" s="17" t="s">
        <v>65</v>
      </c>
      <c r="C206" s="16">
        <v>42760.494085648148</v>
      </c>
      <c r="D206" s="17" t="s">
        <v>5</v>
      </c>
      <c r="E206" s="17" t="s">
        <v>46</v>
      </c>
      <c r="F206" s="16">
        <v>42760.495347222219</v>
      </c>
      <c r="G206" s="16"/>
      <c r="H206" s="16"/>
      <c r="I206" s="11">
        <v>237</v>
      </c>
      <c r="J206" s="54">
        <f t="shared" si="9"/>
        <v>42760.554224537038</v>
      </c>
      <c r="K206" t="str">
        <f t="shared" si="10"/>
        <v>FAS.T2.ETOOLS</v>
      </c>
      <c r="L206" t="str">
        <f t="shared" si="11"/>
        <v>NO</v>
      </c>
    </row>
    <row r="207" spans="1:12" hidden="1" x14ac:dyDescent="0.2">
      <c r="A207" s="17" t="s">
        <v>193</v>
      </c>
      <c r="B207" s="17" t="s">
        <v>65</v>
      </c>
      <c r="C207" s="16">
        <v>42760.494085648148</v>
      </c>
      <c r="D207" s="17" t="s">
        <v>5</v>
      </c>
      <c r="E207" s="17" t="s">
        <v>36</v>
      </c>
      <c r="F207" s="16">
        <v>42760.554224537038</v>
      </c>
      <c r="G207" s="16"/>
      <c r="H207" s="16"/>
      <c r="I207" s="11">
        <v>239</v>
      </c>
      <c r="J207" s="54" t="str">
        <f t="shared" si="9"/>
        <v/>
      </c>
      <c r="K207" t="str">
        <f t="shared" si="10"/>
        <v>FAS.T2.ETOOLS</v>
      </c>
      <c r="L207" t="str">
        <f t="shared" si="11"/>
        <v>NO</v>
      </c>
    </row>
    <row r="208" spans="1:12" hidden="1" x14ac:dyDescent="0.2">
      <c r="A208" s="17" t="s">
        <v>193</v>
      </c>
      <c r="B208" s="17" t="s">
        <v>65</v>
      </c>
      <c r="C208" s="16">
        <v>42760.494085648148</v>
      </c>
      <c r="D208" s="17" t="s">
        <v>5</v>
      </c>
      <c r="E208" s="17" t="s">
        <v>51</v>
      </c>
      <c r="F208" s="16">
        <v>42760.564375000002</v>
      </c>
      <c r="G208" s="16"/>
      <c r="H208" s="16"/>
      <c r="I208" s="11">
        <v>240</v>
      </c>
      <c r="J208" s="54" t="str">
        <f t="shared" si="9"/>
        <v/>
      </c>
      <c r="K208" t="str">
        <f t="shared" si="10"/>
        <v>FAS.T2.ETOOLS</v>
      </c>
      <c r="L208" t="str">
        <f t="shared" si="11"/>
        <v>NO</v>
      </c>
    </row>
    <row r="209" spans="1:12" hidden="1" x14ac:dyDescent="0.2">
      <c r="A209" s="17" t="s">
        <v>192</v>
      </c>
      <c r="B209" s="17" t="s">
        <v>65</v>
      </c>
      <c r="C209" s="16">
        <v>42769.390219907407</v>
      </c>
      <c r="D209" s="17" t="s">
        <v>5</v>
      </c>
      <c r="E209" s="17" t="s">
        <v>40</v>
      </c>
      <c r="F209" s="16">
        <v>42769.390347222223</v>
      </c>
      <c r="G209" s="16">
        <v>42776.5622337963</v>
      </c>
      <c r="H209" s="16"/>
      <c r="I209" s="11">
        <v>241</v>
      </c>
      <c r="J209" s="54" t="str">
        <f t="shared" si="9"/>
        <v/>
      </c>
      <c r="K209" t="str">
        <f t="shared" si="10"/>
        <v/>
      </c>
      <c r="L209" t="str">
        <f t="shared" si="11"/>
        <v>NO</v>
      </c>
    </row>
    <row r="210" spans="1:12" hidden="1" x14ac:dyDescent="0.2">
      <c r="A210" s="17" t="s">
        <v>192</v>
      </c>
      <c r="B210" s="17" t="s">
        <v>65</v>
      </c>
      <c r="C210" s="16">
        <v>42769.390219907407</v>
      </c>
      <c r="D210" s="17" t="s">
        <v>5</v>
      </c>
      <c r="E210" s="17" t="s">
        <v>36</v>
      </c>
      <c r="F210" s="16">
        <v>42769.391446759262</v>
      </c>
      <c r="G210" s="16">
        <v>42776.5622337963</v>
      </c>
      <c r="H210" s="16"/>
      <c r="I210" s="11">
        <v>242</v>
      </c>
      <c r="J210" s="54" t="str">
        <f t="shared" si="9"/>
        <v/>
      </c>
      <c r="K210" t="str">
        <f t="shared" si="10"/>
        <v/>
      </c>
      <c r="L210" t="str">
        <f t="shared" si="11"/>
        <v>NO</v>
      </c>
    </row>
    <row r="211" spans="1:12" hidden="1" x14ac:dyDescent="0.2">
      <c r="A211" s="17" t="s">
        <v>192</v>
      </c>
      <c r="B211" s="17" t="s">
        <v>65</v>
      </c>
      <c r="C211" s="16">
        <v>42769.390219907407</v>
      </c>
      <c r="D211" s="17" t="s">
        <v>5</v>
      </c>
      <c r="E211" s="17" t="s">
        <v>41</v>
      </c>
      <c r="F211" s="16">
        <v>42769.399212962962</v>
      </c>
      <c r="G211" s="16">
        <v>42776.5622337963</v>
      </c>
      <c r="H211" s="16"/>
      <c r="I211" s="11">
        <v>244</v>
      </c>
      <c r="J211" s="54" t="str">
        <f t="shared" si="9"/>
        <v/>
      </c>
      <c r="K211" t="str">
        <f t="shared" si="10"/>
        <v/>
      </c>
      <c r="L211" t="str">
        <f t="shared" si="11"/>
        <v>NO</v>
      </c>
    </row>
    <row r="212" spans="1:12" hidden="1" x14ac:dyDescent="0.2">
      <c r="A212" s="17" t="s">
        <v>192</v>
      </c>
      <c r="B212" s="17" t="s">
        <v>65</v>
      </c>
      <c r="C212" s="16">
        <v>42769.390219907407</v>
      </c>
      <c r="D212" s="17" t="s">
        <v>5</v>
      </c>
      <c r="E212" s="17" t="s">
        <v>46</v>
      </c>
      <c r="F212" s="16">
        <v>42835.433182870373</v>
      </c>
      <c r="G212" s="16">
        <v>42776.5622337963</v>
      </c>
      <c r="H212" s="16"/>
      <c r="I212" s="11">
        <v>246</v>
      </c>
      <c r="J212" s="54">
        <f t="shared" si="9"/>
        <v>42859.351979166669</v>
      </c>
      <c r="K212" t="str">
        <f t="shared" si="10"/>
        <v>FAS.T2.ETOOLS</v>
      </c>
      <c r="L212" t="str">
        <f t="shared" si="11"/>
        <v>NO</v>
      </c>
    </row>
    <row r="213" spans="1:12" hidden="1" x14ac:dyDescent="0.2">
      <c r="A213" s="17" t="s">
        <v>192</v>
      </c>
      <c r="B213" s="17" t="s">
        <v>65</v>
      </c>
      <c r="C213" s="16">
        <v>42769.390219907407</v>
      </c>
      <c r="D213" s="17" t="s">
        <v>5</v>
      </c>
      <c r="E213" s="17" t="s">
        <v>153</v>
      </c>
      <c r="F213" s="16">
        <v>42859.351979166669</v>
      </c>
      <c r="G213" s="16">
        <v>42776.5622337963</v>
      </c>
      <c r="H213" s="16"/>
      <c r="I213" s="11">
        <v>248</v>
      </c>
      <c r="J213" s="54" t="str">
        <f t="shared" si="9"/>
        <v/>
      </c>
      <c r="K213" t="str">
        <f t="shared" si="10"/>
        <v>FAS.T2.ETOOLS</v>
      </c>
      <c r="L213" t="str">
        <f t="shared" si="11"/>
        <v>NO</v>
      </c>
    </row>
    <row r="214" spans="1:12" hidden="1" x14ac:dyDescent="0.2">
      <c r="A214" s="17" t="s">
        <v>191</v>
      </c>
      <c r="B214" s="17" t="s">
        <v>37</v>
      </c>
      <c r="C214" s="16">
        <v>42772.452638888892</v>
      </c>
      <c r="D214" s="17" t="s">
        <v>5</v>
      </c>
      <c r="E214" s="17" t="s">
        <v>40</v>
      </c>
      <c r="F214" s="16">
        <v>42772.452685185184</v>
      </c>
      <c r="G214" s="16"/>
      <c r="H214" s="16"/>
      <c r="I214" s="11">
        <v>250</v>
      </c>
      <c r="J214" s="54" t="str">
        <f t="shared" si="9"/>
        <v/>
      </c>
      <c r="K214" t="str">
        <f t="shared" si="10"/>
        <v/>
      </c>
      <c r="L214" t="str">
        <f t="shared" si="11"/>
        <v/>
      </c>
    </row>
    <row r="215" spans="1:12" hidden="1" x14ac:dyDescent="0.2">
      <c r="A215" s="17" t="s">
        <v>191</v>
      </c>
      <c r="B215" s="17" t="s">
        <v>37</v>
      </c>
      <c r="C215" s="16">
        <v>42772.452638888892</v>
      </c>
      <c r="D215" s="17" t="s">
        <v>5</v>
      </c>
      <c r="E215" s="17" t="s">
        <v>36</v>
      </c>
      <c r="F215" s="16">
        <v>42772.452951388892</v>
      </c>
      <c r="G215" s="16"/>
      <c r="H215" s="16"/>
      <c r="I215" s="11">
        <v>251</v>
      </c>
      <c r="J215" s="54" t="str">
        <f t="shared" si="9"/>
        <v/>
      </c>
      <c r="K215" t="str">
        <f t="shared" si="10"/>
        <v/>
      </c>
      <c r="L215" t="str">
        <f t="shared" si="11"/>
        <v/>
      </c>
    </row>
    <row r="216" spans="1:12" hidden="1" x14ac:dyDescent="0.2">
      <c r="A216" s="17" t="s">
        <v>191</v>
      </c>
      <c r="B216" s="17" t="s">
        <v>37</v>
      </c>
      <c r="C216" s="16">
        <v>42772.452638888892</v>
      </c>
      <c r="D216" s="17" t="s">
        <v>5</v>
      </c>
      <c r="E216" s="17" t="s">
        <v>51</v>
      </c>
      <c r="F216" s="16">
        <v>42772.570208333331</v>
      </c>
      <c r="G216" s="16"/>
      <c r="H216" s="16"/>
      <c r="I216" s="11">
        <v>253</v>
      </c>
      <c r="J216" s="54" t="str">
        <f t="shared" si="9"/>
        <v/>
      </c>
      <c r="K216" t="str">
        <f t="shared" si="10"/>
        <v/>
      </c>
      <c r="L216" t="str">
        <f t="shared" si="11"/>
        <v/>
      </c>
    </row>
    <row r="217" spans="1:12" hidden="1" x14ac:dyDescent="0.2">
      <c r="A217" s="17" t="s">
        <v>190</v>
      </c>
      <c r="B217" s="17" t="s">
        <v>37</v>
      </c>
      <c r="C217" s="16">
        <v>42773.63957175926</v>
      </c>
      <c r="D217" s="17" t="s">
        <v>5</v>
      </c>
      <c r="E217" s="17" t="s">
        <v>40</v>
      </c>
      <c r="F217" s="16">
        <v>42773.639664351853</v>
      </c>
      <c r="G217" s="16"/>
      <c r="H217" s="16"/>
      <c r="I217" s="11">
        <v>254</v>
      </c>
      <c r="J217" s="54" t="str">
        <f t="shared" si="9"/>
        <v/>
      </c>
      <c r="K217" t="str">
        <f t="shared" si="10"/>
        <v/>
      </c>
      <c r="L217" t="str">
        <f t="shared" si="11"/>
        <v/>
      </c>
    </row>
    <row r="218" spans="1:12" hidden="1" x14ac:dyDescent="0.2">
      <c r="A218" s="17" t="s">
        <v>190</v>
      </c>
      <c r="B218" s="17" t="s">
        <v>37</v>
      </c>
      <c r="C218" s="16">
        <v>42773.63957175926</v>
      </c>
      <c r="D218" s="17" t="s">
        <v>5</v>
      </c>
      <c r="E218" s="17" t="s">
        <v>51</v>
      </c>
      <c r="F218" s="16">
        <v>42773.649305555555</v>
      </c>
      <c r="G218" s="16"/>
      <c r="H218" s="16"/>
      <c r="I218" s="11">
        <v>255</v>
      </c>
      <c r="J218" s="54" t="str">
        <f t="shared" si="9"/>
        <v/>
      </c>
      <c r="K218" t="str">
        <f t="shared" si="10"/>
        <v/>
      </c>
      <c r="L218" t="str">
        <f t="shared" si="11"/>
        <v/>
      </c>
    </row>
    <row r="219" spans="1:12" hidden="1" x14ac:dyDescent="0.2">
      <c r="A219" s="17" t="s">
        <v>189</v>
      </c>
      <c r="B219" s="17" t="s">
        <v>37</v>
      </c>
      <c r="C219" s="16">
        <v>42774.359363425923</v>
      </c>
      <c r="D219" s="17" t="s">
        <v>5</v>
      </c>
      <c r="E219" s="17" t="s">
        <v>40</v>
      </c>
      <c r="F219" s="16">
        <v>42774.359375</v>
      </c>
      <c r="G219" s="16"/>
      <c r="H219" s="16"/>
      <c r="I219" s="11">
        <v>256</v>
      </c>
      <c r="J219" s="54" t="str">
        <f t="shared" si="9"/>
        <v/>
      </c>
      <c r="K219" t="str">
        <f t="shared" si="10"/>
        <v/>
      </c>
      <c r="L219" t="str">
        <f t="shared" si="11"/>
        <v/>
      </c>
    </row>
    <row r="220" spans="1:12" hidden="1" x14ac:dyDescent="0.2">
      <c r="A220" s="17" t="s">
        <v>189</v>
      </c>
      <c r="B220" s="17" t="s">
        <v>37</v>
      </c>
      <c r="C220" s="16">
        <v>42774.359363425923</v>
      </c>
      <c r="D220" s="17" t="s">
        <v>5</v>
      </c>
      <c r="E220" s="17" t="s">
        <v>36</v>
      </c>
      <c r="F220" s="16">
        <v>42774.367106481484</v>
      </c>
      <c r="G220" s="16"/>
      <c r="H220" s="16"/>
      <c r="I220" s="11">
        <v>257</v>
      </c>
      <c r="J220" s="54" t="str">
        <f t="shared" si="9"/>
        <v/>
      </c>
      <c r="K220" t="str">
        <f t="shared" si="10"/>
        <v/>
      </c>
      <c r="L220" t="str">
        <f t="shared" si="11"/>
        <v/>
      </c>
    </row>
    <row r="221" spans="1:12" hidden="1" x14ac:dyDescent="0.2">
      <c r="A221" s="17" t="s">
        <v>189</v>
      </c>
      <c r="B221" s="17" t="s">
        <v>37</v>
      </c>
      <c r="C221" s="16">
        <v>42774.359363425923</v>
      </c>
      <c r="D221" s="17" t="s">
        <v>5</v>
      </c>
      <c r="E221" s="17" t="s">
        <v>51</v>
      </c>
      <c r="F221" s="16">
        <v>42774.384317129632</v>
      </c>
      <c r="G221" s="16"/>
      <c r="H221" s="16"/>
      <c r="I221" s="11">
        <v>259</v>
      </c>
      <c r="J221" s="54" t="str">
        <f t="shared" si="9"/>
        <v/>
      </c>
      <c r="K221" t="str">
        <f t="shared" si="10"/>
        <v/>
      </c>
      <c r="L221" t="str">
        <f t="shared" si="11"/>
        <v/>
      </c>
    </row>
    <row r="222" spans="1:12" hidden="1" x14ac:dyDescent="0.2">
      <c r="A222" s="17" t="s">
        <v>188</v>
      </c>
      <c r="B222" s="17" t="s">
        <v>37</v>
      </c>
      <c r="C222" s="16">
        <v>42782.332835648151</v>
      </c>
      <c r="D222" s="17" t="s">
        <v>5</v>
      </c>
      <c r="E222" s="17" t="s">
        <v>40</v>
      </c>
      <c r="F222" s="16">
        <v>42782.332905092589</v>
      </c>
      <c r="G222" s="16"/>
      <c r="H222" s="16"/>
      <c r="I222" s="11">
        <v>260</v>
      </c>
      <c r="J222" s="54" t="str">
        <f t="shared" si="9"/>
        <v/>
      </c>
      <c r="K222" t="str">
        <f t="shared" si="10"/>
        <v/>
      </c>
      <c r="L222" t="str">
        <f t="shared" si="11"/>
        <v/>
      </c>
    </row>
    <row r="223" spans="1:12" hidden="1" x14ac:dyDescent="0.2">
      <c r="A223" s="17" t="s">
        <v>188</v>
      </c>
      <c r="B223" s="17" t="s">
        <v>37</v>
      </c>
      <c r="C223" s="16">
        <v>42782.332835648151</v>
      </c>
      <c r="D223" s="17" t="s">
        <v>5</v>
      </c>
      <c r="E223" s="17" t="s">
        <v>46</v>
      </c>
      <c r="F223" s="16">
        <v>42782.333807870367</v>
      </c>
      <c r="G223" s="16"/>
      <c r="H223" s="16"/>
      <c r="I223" s="11">
        <v>261</v>
      </c>
      <c r="J223" s="54" t="str">
        <f t="shared" si="9"/>
        <v/>
      </c>
      <c r="K223" t="str">
        <f t="shared" si="10"/>
        <v>FAS.T2.ETOOLS</v>
      </c>
      <c r="L223" t="str">
        <f t="shared" si="11"/>
        <v/>
      </c>
    </row>
    <row r="224" spans="1:12" hidden="1" x14ac:dyDescent="0.2">
      <c r="A224" s="17" t="s">
        <v>186</v>
      </c>
      <c r="B224" s="17" t="s">
        <v>37</v>
      </c>
      <c r="C224" s="16">
        <v>42802.447442129633</v>
      </c>
      <c r="D224" s="17" t="s">
        <v>5</v>
      </c>
      <c r="E224" s="17" t="s">
        <v>40</v>
      </c>
      <c r="F224" s="16">
        <v>42802.447476851848</v>
      </c>
      <c r="G224" s="16"/>
      <c r="H224" s="16"/>
      <c r="I224" s="11">
        <v>266</v>
      </c>
      <c r="J224" s="54" t="str">
        <f t="shared" si="9"/>
        <v/>
      </c>
      <c r="K224" t="str">
        <f t="shared" si="10"/>
        <v/>
      </c>
      <c r="L224" t="str">
        <f t="shared" si="11"/>
        <v>NO</v>
      </c>
    </row>
    <row r="225" spans="1:12" hidden="1" x14ac:dyDescent="0.2">
      <c r="A225" s="17" t="s">
        <v>186</v>
      </c>
      <c r="B225" s="17" t="s">
        <v>37</v>
      </c>
      <c r="C225" s="16">
        <v>42802.447442129633</v>
      </c>
      <c r="D225" s="17" t="s">
        <v>5</v>
      </c>
      <c r="E225" s="17" t="s">
        <v>46</v>
      </c>
      <c r="F225" s="16">
        <v>42802.452476851853</v>
      </c>
      <c r="G225" s="16"/>
      <c r="H225" s="16"/>
      <c r="I225" s="11">
        <v>267</v>
      </c>
      <c r="J225" s="54">
        <f t="shared" si="9"/>
        <v>42804.525196759256</v>
      </c>
      <c r="K225" t="str">
        <f t="shared" si="10"/>
        <v>FAS.T2.ETOOLS</v>
      </c>
      <c r="L225" t="str">
        <f t="shared" si="11"/>
        <v>NO</v>
      </c>
    </row>
    <row r="226" spans="1:12" hidden="1" x14ac:dyDescent="0.2">
      <c r="A226" s="17" t="s">
        <v>186</v>
      </c>
      <c r="B226" s="17" t="s">
        <v>37</v>
      </c>
      <c r="C226" s="16">
        <v>42802.447442129633</v>
      </c>
      <c r="D226" s="17" t="s">
        <v>5</v>
      </c>
      <c r="E226" s="17" t="s">
        <v>41</v>
      </c>
      <c r="F226" s="16">
        <v>42804.525196759256</v>
      </c>
      <c r="G226" s="16"/>
      <c r="H226" s="16"/>
      <c r="I226" s="11">
        <v>269</v>
      </c>
      <c r="J226" s="54" t="str">
        <f t="shared" si="9"/>
        <v/>
      </c>
      <c r="K226" t="str">
        <f t="shared" si="10"/>
        <v>FAS.T2.ETOOLS</v>
      </c>
      <c r="L226" t="str">
        <f t="shared" si="11"/>
        <v>NO</v>
      </c>
    </row>
    <row r="227" spans="1:12" hidden="1" x14ac:dyDescent="0.2">
      <c r="A227" s="17" t="s">
        <v>185</v>
      </c>
      <c r="B227" s="17" t="s">
        <v>65</v>
      </c>
      <c r="C227" s="16">
        <v>42804.538483796299</v>
      </c>
      <c r="D227" s="17" t="s">
        <v>5</v>
      </c>
      <c r="E227" s="17" t="s">
        <v>40</v>
      </c>
      <c r="F227" s="16">
        <v>42804.538530092592</v>
      </c>
      <c r="G227" s="16"/>
      <c r="H227" s="16"/>
      <c r="I227" s="11">
        <v>271</v>
      </c>
      <c r="J227" s="54" t="str">
        <f t="shared" si="9"/>
        <v/>
      </c>
      <c r="K227" t="str">
        <f t="shared" si="10"/>
        <v/>
      </c>
      <c r="L227" t="str">
        <f t="shared" si="11"/>
        <v>NO</v>
      </c>
    </row>
    <row r="228" spans="1:12" hidden="1" x14ac:dyDescent="0.2">
      <c r="A228" s="17" t="s">
        <v>185</v>
      </c>
      <c r="B228" s="17" t="s">
        <v>65</v>
      </c>
      <c r="C228" s="16">
        <v>42804.538483796299</v>
      </c>
      <c r="D228" s="17" t="s">
        <v>5</v>
      </c>
      <c r="E228" s="17" t="s">
        <v>36</v>
      </c>
      <c r="F228" s="16">
        <v>42804.538645833331</v>
      </c>
      <c r="G228" s="16"/>
      <c r="H228" s="16"/>
      <c r="I228" s="11">
        <v>272</v>
      </c>
      <c r="J228" s="54" t="str">
        <f t="shared" si="9"/>
        <v/>
      </c>
      <c r="K228" t="str">
        <f t="shared" si="10"/>
        <v/>
      </c>
      <c r="L228" t="str">
        <f t="shared" si="11"/>
        <v>NO</v>
      </c>
    </row>
    <row r="229" spans="1:12" hidden="1" x14ac:dyDescent="0.2">
      <c r="A229" s="17" t="s">
        <v>185</v>
      </c>
      <c r="B229" s="17" t="s">
        <v>65</v>
      </c>
      <c r="C229" s="16">
        <v>42804.538483796299</v>
      </c>
      <c r="D229" s="17" t="s">
        <v>5</v>
      </c>
      <c r="E229" s="17" t="s">
        <v>41</v>
      </c>
      <c r="F229" s="16">
        <v>42804.624386574076</v>
      </c>
      <c r="G229" s="16"/>
      <c r="H229" s="16"/>
      <c r="I229" s="11">
        <v>273</v>
      </c>
      <c r="J229" s="54" t="str">
        <f t="shared" si="9"/>
        <v/>
      </c>
      <c r="K229" t="str">
        <f t="shared" si="10"/>
        <v/>
      </c>
      <c r="L229" t="str">
        <f t="shared" si="11"/>
        <v>NO</v>
      </c>
    </row>
    <row r="230" spans="1:12" hidden="1" x14ac:dyDescent="0.2">
      <c r="A230" s="17" t="s">
        <v>185</v>
      </c>
      <c r="B230" s="17" t="s">
        <v>65</v>
      </c>
      <c r="C230" s="16">
        <v>42804.538483796299</v>
      </c>
      <c r="D230" s="17" t="s">
        <v>5</v>
      </c>
      <c r="E230" s="17" t="s">
        <v>46</v>
      </c>
      <c r="F230" s="16">
        <v>42835.441550925927</v>
      </c>
      <c r="G230" s="16"/>
      <c r="H230" s="16"/>
      <c r="I230" s="11">
        <v>275</v>
      </c>
      <c r="J230" s="54">
        <f t="shared" si="9"/>
        <v>42846.545312499999</v>
      </c>
      <c r="K230" t="str">
        <f t="shared" si="10"/>
        <v>FAS.T2.ETOOLS</v>
      </c>
      <c r="L230" t="str">
        <f t="shared" si="11"/>
        <v>NO</v>
      </c>
    </row>
    <row r="231" spans="1:12" hidden="1" x14ac:dyDescent="0.2">
      <c r="A231" s="17" t="s">
        <v>185</v>
      </c>
      <c r="B231" s="17" t="s">
        <v>65</v>
      </c>
      <c r="C231" s="16">
        <v>42804.538483796299</v>
      </c>
      <c r="D231" s="17" t="s">
        <v>5</v>
      </c>
      <c r="E231" s="17" t="s">
        <v>41</v>
      </c>
      <c r="F231" s="16">
        <v>42846.545312499999</v>
      </c>
      <c r="G231" s="16"/>
      <c r="H231" s="16"/>
      <c r="I231" s="11">
        <v>277</v>
      </c>
      <c r="J231" s="54" t="str">
        <f t="shared" si="9"/>
        <v/>
      </c>
      <c r="K231" t="str">
        <f t="shared" si="10"/>
        <v>FAS.T2.ETOOLS</v>
      </c>
      <c r="L231" t="str">
        <f t="shared" si="11"/>
        <v>NO</v>
      </c>
    </row>
    <row r="232" spans="1:12" hidden="1" x14ac:dyDescent="0.2">
      <c r="A232" s="17" t="s">
        <v>185</v>
      </c>
      <c r="B232" s="17" t="s">
        <v>65</v>
      </c>
      <c r="C232" s="16">
        <v>42804.538483796299</v>
      </c>
      <c r="D232" s="17" t="s">
        <v>5</v>
      </c>
      <c r="E232" s="17" t="s">
        <v>46</v>
      </c>
      <c r="F232" s="16">
        <v>42849.451064814813</v>
      </c>
      <c r="G232" s="16"/>
      <c r="H232" s="16"/>
      <c r="I232" s="11">
        <v>278</v>
      </c>
      <c r="J232" s="54">
        <f t="shared" si="9"/>
        <v>42849.560810185183</v>
      </c>
      <c r="K232" t="str">
        <f t="shared" si="10"/>
        <v>FAS.T2.ETOOLS</v>
      </c>
      <c r="L232" t="str">
        <f t="shared" si="11"/>
        <v>NO</v>
      </c>
    </row>
    <row r="233" spans="1:12" hidden="1" x14ac:dyDescent="0.2">
      <c r="A233" s="17" t="s">
        <v>185</v>
      </c>
      <c r="B233" s="17" t="s">
        <v>65</v>
      </c>
      <c r="C233" s="16">
        <v>42804.538483796299</v>
      </c>
      <c r="D233" s="17" t="s">
        <v>5</v>
      </c>
      <c r="E233" s="17" t="s">
        <v>153</v>
      </c>
      <c r="F233" s="16">
        <v>42849.560810185183</v>
      </c>
      <c r="G233" s="16"/>
      <c r="H233" s="16"/>
      <c r="I233" s="11">
        <v>279</v>
      </c>
      <c r="J233" s="54" t="str">
        <f t="shared" si="9"/>
        <v/>
      </c>
      <c r="K233" t="str">
        <f t="shared" si="10"/>
        <v>FAS.T2.ETOOLS</v>
      </c>
      <c r="L233" t="str">
        <f t="shared" si="11"/>
        <v>NO</v>
      </c>
    </row>
    <row r="234" spans="1:12" hidden="1" x14ac:dyDescent="0.2">
      <c r="A234" s="17" t="s">
        <v>184</v>
      </c>
      <c r="B234" s="17" t="s">
        <v>37</v>
      </c>
      <c r="C234" s="16">
        <v>42823.55201388889</v>
      </c>
      <c r="D234" s="17" t="s">
        <v>5</v>
      </c>
      <c r="E234" s="17" t="s">
        <v>40</v>
      </c>
      <c r="F234" s="16">
        <v>42823.552094907405</v>
      </c>
      <c r="G234" s="16">
        <v>42824.44090277778</v>
      </c>
      <c r="H234" s="16"/>
      <c r="I234" s="11">
        <v>281</v>
      </c>
      <c r="J234" s="54" t="str">
        <f t="shared" si="9"/>
        <v/>
      </c>
      <c r="K234" t="str">
        <f t="shared" si="10"/>
        <v/>
      </c>
      <c r="L234" t="str">
        <f t="shared" si="11"/>
        <v>NO</v>
      </c>
    </row>
    <row r="235" spans="1:12" hidden="1" x14ac:dyDescent="0.2">
      <c r="A235" s="17" t="s">
        <v>184</v>
      </c>
      <c r="B235" s="17" t="s">
        <v>37</v>
      </c>
      <c r="C235" s="16">
        <v>42823.55201388889</v>
      </c>
      <c r="D235" s="17" t="s">
        <v>5</v>
      </c>
      <c r="E235" s="17" t="s">
        <v>36</v>
      </c>
      <c r="F235" s="16">
        <v>42823.563599537039</v>
      </c>
      <c r="G235" s="16">
        <v>42824.44090277778</v>
      </c>
      <c r="H235" s="16"/>
      <c r="I235" s="11">
        <v>282</v>
      </c>
      <c r="J235" s="54" t="str">
        <f t="shared" si="9"/>
        <v/>
      </c>
      <c r="K235" t="str">
        <f t="shared" si="10"/>
        <v/>
      </c>
      <c r="L235" t="str">
        <f t="shared" si="11"/>
        <v>NO</v>
      </c>
    </row>
    <row r="236" spans="1:12" hidden="1" x14ac:dyDescent="0.2">
      <c r="A236" s="17" t="s">
        <v>184</v>
      </c>
      <c r="B236" s="17" t="s">
        <v>37</v>
      </c>
      <c r="C236" s="16">
        <v>42823.55201388889</v>
      </c>
      <c r="D236" s="17" t="s">
        <v>5</v>
      </c>
      <c r="E236" s="17" t="s">
        <v>46</v>
      </c>
      <c r="F236" s="16">
        <v>42825.372002314813</v>
      </c>
      <c r="G236" s="16">
        <v>42824.44090277778</v>
      </c>
      <c r="H236" s="16"/>
      <c r="I236" s="11">
        <v>284</v>
      </c>
      <c r="J236" s="54">
        <f t="shared" si="9"/>
        <v>42825.374490740738</v>
      </c>
      <c r="K236" t="str">
        <f t="shared" si="10"/>
        <v>FAS.T2.ETOOLS</v>
      </c>
      <c r="L236" t="str">
        <f t="shared" si="11"/>
        <v>NO</v>
      </c>
    </row>
    <row r="237" spans="1:12" hidden="1" x14ac:dyDescent="0.2">
      <c r="A237" s="17" t="s">
        <v>184</v>
      </c>
      <c r="B237" s="17" t="s">
        <v>37</v>
      </c>
      <c r="C237" s="16">
        <v>42823.55201388889</v>
      </c>
      <c r="D237" s="17" t="s">
        <v>5</v>
      </c>
      <c r="E237" s="17" t="s">
        <v>51</v>
      </c>
      <c r="F237" s="16">
        <v>42825.374490740738</v>
      </c>
      <c r="G237" s="16">
        <v>42824.44090277778</v>
      </c>
      <c r="H237" s="16"/>
      <c r="I237" s="11">
        <v>285</v>
      </c>
      <c r="J237" s="54" t="str">
        <f t="shared" si="9"/>
        <v/>
      </c>
      <c r="K237" t="str">
        <f t="shared" si="10"/>
        <v>FAS.T2.ETOOLS</v>
      </c>
      <c r="L237" t="str">
        <f t="shared" si="11"/>
        <v>NO</v>
      </c>
    </row>
    <row r="238" spans="1:12" hidden="1" x14ac:dyDescent="0.2">
      <c r="A238" s="17" t="s">
        <v>183</v>
      </c>
      <c r="B238" s="17" t="s">
        <v>37</v>
      </c>
      <c r="C238" s="16">
        <v>42824.542025462964</v>
      </c>
      <c r="D238" s="17" t="s">
        <v>5</v>
      </c>
      <c r="E238" s="17" t="s">
        <v>40</v>
      </c>
      <c r="F238" s="16">
        <v>42824.542025462964</v>
      </c>
      <c r="G238" s="16"/>
      <c r="H238" s="16"/>
      <c r="I238" s="11">
        <v>286</v>
      </c>
      <c r="J238" s="54" t="str">
        <f t="shared" si="9"/>
        <v/>
      </c>
      <c r="K238" t="str">
        <f t="shared" si="10"/>
        <v/>
      </c>
      <c r="L238" t="str">
        <f t="shared" si="11"/>
        <v>NO</v>
      </c>
    </row>
    <row r="239" spans="1:12" hidden="1" x14ac:dyDescent="0.2">
      <c r="A239" s="17" t="s">
        <v>183</v>
      </c>
      <c r="B239" s="17" t="s">
        <v>37</v>
      </c>
      <c r="C239" s="16">
        <v>42824.542025462964</v>
      </c>
      <c r="D239" s="17" t="s">
        <v>5</v>
      </c>
      <c r="E239" s="17" t="s">
        <v>46</v>
      </c>
      <c r="F239" s="16">
        <v>42824.542604166665</v>
      </c>
      <c r="G239" s="16"/>
      <c r="H239" s="16"/>
      <c r="I239" s="11">
        <v>287</v>
      </c>
      <c r="J239" s="54">
        <f t="shared" si="9"/>
        <v>42824.544745370367</v>
      </c>
      <c r="K239" t="str">
        <f t="shared" si="10"/>
        <v>FAS.T2.ETOOLS</v>
      </c>
      <c r="L239" t="str">
        <f t="shared" si="11"/>
        <v>NO</v>
      </c>
    </row>
    <row r="240" spans="1:12" hidden="1" x14ac:dyDescent="0.2">
      <c r="A240" s="17" t="s">
        <v>183</v>
      </c>
      <c r="B240" s="17" t="s">
        <v>37</v>
      </c>
      <c r="C240" s="16">
        <v>42824.542025462964</v>
      </c>
      <c r="D240" s="17" t="s">
        <v>5</v>
      </c>
      <c r="E240" s="17" t="s">
        <v>51</v>
      </c>
      <c r="F240" s="16">
        <v>42824.544745370367</v>
      </c>
      <c r="G240" s="16"/>
      <c r="H240" s="16"/>
      <c r="I240" s="11">
        <v>289</v>
      </c>
      <c r="J240" s="54" t="str">
        <f t="shared" si="9"/>
        <v/>
      </c>
      <c r="K240" t="str">
        <f t="shared" si="10"/>
        <v>FAS.T2.ETOOLS</v>
      </c>
      <c r="L240" t="str">
        <f t="shared" si="11"/>
        <v>NO</v>
      </c>
    </row>
    <row r="241" spans="1:12" hidden="1" x14ac:dyDescent="0.2">
      <c r="A241" s="17" t="s">
        <v>182</v>
      </c>
      <c r="B241" s="17" t="s">
        <v>37</v>
      </c>
      <c r="C241" s="16">
        <v>42824.563379629632</v>
      </c>
      <c r="D241" s="17" t="s">
        <v>5</v>
      </c>
      <c r="E241" s="17" t="s">
        <v>40</v>
      </c>
      <c r="F241" s="16">
        <v>42824.563425925924</v>
      </c>
      <c r="G241" s="16"/>
      <c r="H241" s="16"/>
      <c r="I241" s="11">
        <v>290</v>
      </c>
      <c r="J241" s="54" t="str">
        <f t="shared" si="9"/>
        <v/>
      </c>
      <c r="K241" t="str">
        <f t="shared" si="10"/>
        <v/>
      </c>
      <c r="L241" t="str">
        <f t="shared" si="11"/>
        <v/>
      </c>
    </row>
    <row r="242" spans="1:12" hidden="1" x14ac:dyDescent="0.2">
      <c r="A242" s="17" t="s">
        <v>182</v>
      </c>
      <c r="B242" s="17" t="s">
        <v>37</v>
      </c>
      <c r="C242" s="16">
        <v>42824.563379629632</v>
      </c>
      <c r="D242" s="17" t="s">
        <v>5</v>
      </c>
      <c r="E242" s="17" t="s">
        <v>41</v>
      </c>
      <c r="F242" s="16">
        <v>42824.566180555557</v>
      </c>
      <c r="G242" s="16"/>
      <c r="H242" s="16"/>
      <c r="I242" s="11">
        <v>291</v>
      </c>
      <c r="J242" s="54" t="str">
        <f t="shared" si="9"/>
        <v/>
      </c>
      <c r="K242" t="str">
        <f t="shared" si="10"/>
        <v/>
      </c>
      <c r="L242" t="str">
        <f t="shared" si="11"/>
        <v/>
      </c>
    </row>
    <row r="243" spans="1:12" hidden="1" x14ac:dyDescent="0.2">
      <c r="A243" s="17" t="s">
        <v>181</v>
      </c>
      <c r="B243" s="17" t="s">
        <v>65</v>
      </c>
      <c r="C243" s="16">
        <v>42825.49732638889</v>
      </c>
      <c r="D243" s="17" t="s">
        <v>5</v>
      </c>
      <c r="E243" s="17" t="s">
        <v>40</v>
      </c>
      <c r="F243" s="16">
        <v>42825.497361111113</v>
      </c>
      <c r="G243" s="16">
        <v>42852.495868055557</v>
      </c>
      <c r="H243" s="16"/>
      <c r="I243" s="11">
        <v>293</v>
      </c>
      <c r="J243" s="54" t="str">
        <f t="shared" si="9"/>
        <v/>
      </c>
      <c r="K243" t="str">
        <f t="shared" si="10"/>
        <v/>
      </c>
      <c r="L243" t="str">
        <f t="shared" si="11"/>
        <v/>
      </c>
    </row>
    <row r="244" spans="1:12" hidden="1" x14ac:dyDescent="0.2">
      <c r="A244" s="17" t="s">
        <v>181</v>
      </c>
      <c r="B244" s="17" t="s">
        <v>65</v>
      </c>
      <c r="C244" s="16">
        <v>42825.49732638889</v>
      </c>
      <c r="D244" s="17" t="s">
        <v>5</v>
      </c>
      <c r="E244" s="17" t="s">
        <v>36</v>
      </c>
      <c r="F244" s="16">
        <v>42825.505208333336</v>
      </c>
      <c r="G244" s="16">
        <v>42852.495868055557</v>
      </c>
      <c r="H244" s="16"/>
      <c r="I244" s="11">
        <v>294</v>
      </c>
      <c r="J244" s="54" t="str">
        <f t="shared" si="9"/>
        <v/>
      </c>
      <c r="K244" t="str">
        <f t="shared" si="10"/>
        <v/>
      </c>
      <c r="L244" t="str">
        <f t="shared" si="11"/>
        <v/>
      </c>
    </row>
    <row r="245" spans="1:12" hidden="1" x14ac:dyDescent="0.2">
      <c r="A245" s="17" t="s">
        <v>181</v>
      </c>
      <c r="B245" s="17" t="s">
        <v>65</v>
      </c>
      <c r="C245" s="16">
        <v>42825.49732638889</v>
      </c>
      <c r="D245" s="17" t="s">
        <v>5</v>
      </c>
      <c r="E245" s="17" t="s">
        <v>46</v>
      </c>
      <c r="F245" s="16">
        <v>42828.742997685185</v>
      </c>
      <c r="G245" s="16">
        <v>42852.495868055557</v>
      </c>
      <c r="H245" s="16"/>
      <c r="I245" s="11">
        <v>296</v>
      </c>
      <c r="J245" s="54" t="str">
        <f t="shared" si="9"/>
        <v/>
      </c>
      <c r="K245" t="str">
        <f t="shared" si="10"/>
        <v>FAS.T2.ETOOLS</v>
      </c>
      <c r="L245" t="str">
        <f t="shared" si="11"/>
        <v/>
      </c>
    </row>
    <row r="246" spans="1:12" hidden="1" x14ac:dyDescent="0.2">
      <c r="A246" s="17" t="s">
        <v>180</v>
      </c>
      <c r="B246" s="17" t="s">
        <v>37</v>
      </c>
      <c r="C246" s="16">
        <v>42825.659317129626</v>
      </c>
      <c r="D246" s="17" t="s">
        <v>5</v>
      </c>
      <c r="E246" s="17" t="s">
        <v>40</v>
      </c>
      <c r="F246" s="16">
        <v>42825.659351851849</v>
      </c>
      <c r="G246" s="16"/>
      <c r="H246" s="16"/>
      <c r="I246" s="11">
        <v>298</v>
      </c>
      <c r="J246" s="54" t="str">
        <f t="shared" si="9"/>
        <v/>
      </c>
      <c r="K246" t="str">
        <f t="shared" si="10"/>
        <v/>
      </c>
      <c r="L246" t="str">
        <f t="shared" si="11"/>
        <v/>
      </c>
    </row>
    <row r="247" spans="1:12" hidden="1" x14ac:dyDescent="0.2">
      <c r="A247" s="17" t="s">
        <v>180</v>
      </c>
      <c r="B247" s="17" t="s">
        <v>37</v>
      </c>
      <c r="C247" s="16">
        <v>42825.659317129626</v>
      </c>
      <c r="D247" s="17" t="s">
        <v>5</v>
      </c>
      <c r="E247" s="17" t="s">
        <v>36</v>
      </c>
      <c r="F247" s="16">
        <v>42825.663356481484</v>
      </c>
      <c r="G247" s="16"/>
      <c r="H247" s="16"/>
      <c r="I247" s="11">
        <v>299</v>
      </c>
      <c r="J247" s="54" t="str">
        <f t="shared" si="9"/>
        <v/>
      </c>
      <c r="K247" t="str">
        <f t="shared" si="10"/>
        <v/>
      </c>
      <c r="L247" t="str">
        <f t="shared" si="11"/>
        <v/>
      </c>
    </row>
    <row r="248" spans="1:12" hidden="1" x14ac:dyDescent="0.2">
      <c r="A248" s="17" t="s">
        <v>180</v>
      </c>
      <c r="B248" s="17" t="s">
        <v>37</v>
      </c>
      <c r="C248" s="16">
        <v>42825.659317129626</v>
      </c>
      <c r="D248" s="17" t="s">
        <v>5</v>
      </c>
      <c r="E248" s="17" t="s">
        <v>46</v>
      </c>
      <c r="F248" s="16">
        <v>42836.472199074073</v>
      </c>
      <c r="G248" s="16"/>
      <c r="H248" s="16"/>
      <c r="I248" s="11">
        <v>301</v>
      </c>
      <c r="J248" s="54" t="str">
        <f t="shared" si="9"/>
        <v/>
      </c>
      <c r="K248" t="str">
        <f t="shared" si="10"/>
        <v>FAS.T2.ETOOLS</v>
      </c>
      <c r="L248" t="str">
        <f t="shared" si="11"/>
        <v/>
      </c>
    </row>
    <row r="249" spans="1:12" hidden="1" x14ac:dyDescent="0.2">
      <c r="A249" s="17" t="s">
        <v>179</v>
      </c>
      <c r="B249" s="17" t="s">
        <v>37</v>
      </c>
      <c r="C249" s="16">
        <v>42830.609305555554</v>
      </c>
      <c r="D249" s="17" t="s">
        <v>5</v>
      </c>
      <c r="E249" s="17" t="s">
        <v>40</v>
      </c>
      <c r="F249" s="16">
        <v>42830.609317129631</v>
      </c>
      <c r="G249" s="16"/>
      <c r="H249" s="16"/>
      <c r="I249" s="11">
        <v>304</v>
      </c>
      <c r="J249" s="54" t="str">
        <f t="shared" si="9"/>
        <v/>
      </c>
      <c r="K249" t="str">
        <f t="shared" si="10"/>
        <v/>
      </c>
      <c r="L249" t="str">
        <f t="shared" si="11"/>
        <v>NO</v>
      </c>
    </row>
    <row r="250" spans="1:12" hidden="1" x14ac:dyDescent="0.2">
      <c r="A250" s="17" t="s">
        <v>179</v>
      </c>
      <c r="B250" s="17" t="s">
        <v>37</v>
      </c>
      <c r="C250" s="16">
        <v>42830.609305555554</v>
      </c>
      <c r="D250" s="17" t="s">
        <v>5</v>
      </c>
      <c r="E250" s="17" t="s">
        <v>46</v>
      </c>
      <c r="F250" s="16">
        <v>42830.617175925923</v>
      </c>
      <c r="G250" s="16"/>
      <c r="H250" s="16"/>
      <c r="I250" s="11">
        <v>305</v>
      </c>
      <c r="J250" s="54">
        <f t="shared" si="9"/>
        <v>42830.626851851855</v>
      </c>
      <c r="K250" t="str">
        <f t="shared" si="10"/>
        <v>FAS.T2.ETOOLS</v>
      </c>
      <c r="L250" t="str">
        <f t="shared" si="11"/>
        <v>NO</v>
      </c>
    </row>
    <row r="251" spans="1:12" hidden="1" x14ac:dyDescent="0.2">
      <c r="A251" s="17" t="s">
        <v>179</v>
      </c>
      <c r="B251" s="17" t="s">
        <v>37</v>
      </c>
      <c r="C251" s="16">
        <v>42830.609305555554</v>
      </c>
      <c r="D251" s="17" t="s">
        <v>5</v>
      </c>
      <c r="E251" s="17" t="s">
        <v>51</v>
      </c>
      <c r="F251" s="16">
        <v>42830.626851851855</v>
      </c>
      <c r="G251" s="16"/>
      <c r="H251" s="16"/>
      <c r="I251" s="11">
        <v>307</v>
      </c>
      <c r="J251" s="54" t="str">
        <f t="shared" si="9"/>
        <v/>
      </c>
      <c r="K251" t="str">
        <f t="shared" si="10"/>
        <v>FAS.T2.ETOOLS</v>
      </c>
      <c r="L251" t="str">
        <f t="shared" si="11"/>
        <v>NO</v>
      </c>
    </row>
    <row r="252" spans="1:12" hidden="1" x14ac:dyDescent="0.2">
      <c r="A252" s="17" t="s">
        <v>178</v>
      </c>
      <c r="B252" s="17" t="s">
        <v>37</v>
      </c>
      <c r="C252" s="16">
        <v>42830.629548611112</v>
      </c>
      <c r="D252" s="17" t="s">
        <v>5</v>
      </c>
      <c r="E252" s="17" t="s">
        <v>40</v>
      </c>
      <c r="F252" s="16">
        <v>42830.629583333335</v>
      </c>
      <c r="G252" s="16"/>
      <c r="H252" s="16"/>
      <c r="I252" s="11">
        <v>308</v>
      </c>
      <c r="J252" s="54" t="str">
        <f t="shared" si="9"/>
        <v/>
      </c>
      <c r="K252" t="str">
        <f t="shared" si="10"/>
        <v/>
      </c>
      <c r="L252" t="str">
        <f t="shared" si="11"/>
        <v/>
      </c>
    </row>
    <row r="253" spans="1:12" hidden="1" x14ac:dyDescent="0.2">
      <c r="A253" s="17" t="s">
        <v>178</v>
      </c>
      <c r="B253" s="17" t="s">
        <v>37</v>
      </c>
      <c r="C253" s="16">
        <v>42830.629548611112</v>
      </c>
      <c r="D253" s="17" t="s">
        <v>5</v>
      </c>
      <c r="E253" s="17" t="s">
        <v>51</v>
      </c>
      <c r="F253" s="16">
        <v>42830.639652777776</v>
      </c>
      <c r="G253" s="16"/>
      <c r="H253" s="16"/>
      <c r="I253" s="11">
        <v>309</v>
      </c>
      <c r="J253" s="54" t="str">
        <f t="shared" si="9"/>
        <v/>
      </c>
      <c r="K253" t="str">
        <f t="shared" si="10"/>
        <v/>
      </c>
      <c r="L253" t="str">
        <f t="shared" si="11"/>
        <v/>
      </c>
    </row>
    <row r="254" spans="1:12" hidden="1" x14ac:dyDescent="0.2">
      <c r="A254" s="17" t="s">
        <v>177</v>
      </c>
      <c r="B254" s="17" t="s">
        <v>37</v>
      </c>
      <c r="C254" s="16">
        <v>42830.66201388889</v>
      </c>
      <c r="D254" s="17" t="s">
        <v>5</v>
      </c>
      <c r="E254" s="17" t="s">
        <v>40</v>
      </c>
      <c r="F254" s="16">
        <v>42830.662048611113</v>
      </c>
      <c r="G254" s="16"/>
      <c r="H254" s="16"/>
      <c r="I254" s="11">
        <v>310</v>
      </c>
      <c r="J254" s="54" t="str">
        <f t="shared" si="9"/>
        <v/>
      </c>
      <c r="K254" t="str">
        <f t="shared" si="10"/>
        <v/>
      </c>
      <c r="L254" t="str">
        <f t="shared" si="11"/>
        <v/>
      </c>
    </row>
    <row r="255" spans="1:12" hidden="1" x14ac:dyDescent="0.2">
      <c r="A255" s="17" t="s">
        <v>177</v>
      </c>
      <c r="B255" s="17" t="s">
        <v>37</v>
      </c>
      <c r="C255" s="16">
        <v>42830.66201388889</v>
      </c>
      <c r="D255" s="17" t="s">
        <v>5</v>
      </c>
      <c r="E255" s="17" t="s">
        <v>36</v>
      </c>
      <c r="F255" s="16">
        <v>42830.663715277777</v>
      </c>
      <c r="G255" s="16"/>
      <c r="H255" s="16"/>
      <c r="I255" s="11">
        <v>311</v>
      </c>
      <c r="J255" s="54" t="str">
        <f t="shared" si="9"/>
        <v/>
      </c>
      <c r="K255" t="str">
        <f t="shared" si="10"/>
        <v/>
      </c>
      <c r="L255" t="str">
        <f t="shared" si="11"/>
        <v/>
      </c>
    </row>
    <row r="256" spans="1:12" hidden="1" x14ac:dyDescent="0.2">
      <c r="A256" s="17" t="s">
        <v>177</v>
      </c>
      <c r="B256" s="17" t="s">
        <v>37</v>
      </c>
      <c r="C256" s="16">
        <v>42830.66201388889</v>
      </c>
      <c r="D256" s="17" t="s">
        <v>5</v>
      </c>
      <c r="E256" s="17" t="s">
        <v>41</v>
      </c>
      <c r="F256" s="16">
        <v>42830.703460648147</v>
      </c>
      <c r="G256" s="16"/>
      <c r="H256" s="16"/>
      <c r="I256" s="11">
        <v>312</v>
      </c>
      <c r="J256" s="54" t="str">
        <f t="shared" si="9"/>
        <v/>
      </c>
      <c r="K256" t="str">
        <f t="shared" si="10"/>
        <v/>
      </c>
      <c r="L256" t="str">
        <f t="shared" si="11"/>
        <v/>
      </c>
    </row>
    <row r="257" spans="1:12" hidden="1" x14ac:dyDescent="0.2">
      <c r="A257" s="17" t="s">
        <v>176</v>
      </c>
      <c r="B257" s="17" t="s">
        <v>37</v>
      </c>
      <c r="C257" s="16">
        <v>42831.51421296296</v>
      </c>
      <c r="D257" s="17" t="s">
        <v>5</v>
      </c>
      <c r="E257" s="17" t="s">
        <v>40</v>
      </c>
      <c r="F257" s="16">
        <v>42831.514317129629</v>
      </c>
      <c r="G257" s="16"/>
      <c r="H257" s="16"/>
      <c r="I257" s="11">
        <v>314</v>
      </c>
      <c r="J257" s="54" t="str">
        <f t="shared" si="9"/>
        <v/>
      </c>
      <c r="K257" t="str">
        <f t="shared" si="10"/>
        <v/>
      </c>
      <c r="L257" t="str">
        <f t="shared" si="11"/>
        <v/>
      </c>
    </row>
    <row r="258" spans="1:12" hidden="1" x14ac:dyDescent="0.2">
      <c r="A258" s="17" t="s">
        <v>176</v>
      </c>
      <c r="B258" s="17" t="s">
        <v>37</v>
      </c>
      <c r="C258" s="16">
        <v>42831.51421296296</v>
      </c>
      <c r="D258" s="17" t="s">
        <v>5</v>
      </c>
      <c r="E258" s="17" t="s">
        <v>36</v>
      </c>
      <c r="F258" s="16">
        <v>42831.520729166667</v>
      </c>
      <c r="G258" s="16"/>
      <c r="H258" s="16"/>
      <c r="I258" s="11">
        <v>315</v>
      </c>
      <c r="J258" s="54" t="str">
        <f t="shared" ref="J258:J321" si="12">IF(AND(A258=A259,E258="FAS.T2.ETOOLS",E259&lt;&gt;"FAS.T2.ETOOLS"),F259, "")</f>
        <v/>
      </c>
      <c r="K258" t="str">
        <f t="shared" ref="K258:K321" si="13">IF(OR(AND(A258=A257, E258="FAS.T2.ETOOLS"),AND(A258=A257, K257="FAS.T2.ETOOLS")), "FAS.T2.ETOOLS", "")</f>
        <v/>
      </c>
      <c r="L258" t="str">
        <f t="shared" ref="L258:L321" si="14">IF(AND(A258&lt;&gt;A259, E258&lt;&gt;"FAS.T2.ETOOLS", K258="FAS.T2.ETOOLS"), "NO", IF(AND(A258=A259,L259="NO"), "NO", ""))</f>
        <v/>
      </c>
    </row>
    <row r="259" spans="1:12" hidden="1" x14ac:dyDescent="0.2">
      <c r="A259" s="17" t="s">
        <v>176</v>
      </c>
      <c r="B259" s="17" t="s">
        <v>37</v>
      </c>
      <c r="C259" s="16">
        <v>42831.51421296296</v>
      </c>
      <c r="D259" s="17" t="s">
        <v>5</v>
      </c>
      <c r="E259" s="17" t="s">
        <v>41</v>
      </c>
      <c r="F259" s="16">
        <v>42836.430104166669</v>
      </c>
      <c r="G259" s="16"/>
      <c r="H259" s="16"/>
      <c r="I259" s="11">
        <v>317</v>
      </c>
      <c r="J259" s="54" t="str">
        <f t="shared" si="12"/>
        <v/>
      </c>
      <c r="K259" t="str">
        <f t="shared" si="13"/>
        <v/>
      </c>
      <c r="L259" t="str">
        <f t="shared" si="14"/>
        <v/>
      </c>
    </row>
    <row r="260" spans="1:12" hidden="1" x14ac:dyDescent="0.2">
      <c r="A260" s="17" t="s">
        <v>175</v>
      </c>
      <c r="B260" s="17" t="s">
        <v>37</v>
      </c>
      <c r="C260" s="16">
        <v>42835.315844907411</v>
      </c>
      <c r="D260" s="17" t="s">
        <v>5</v>
      </c>
      <c r="E260" s="17" t="s">
        <v>40</v>
      </c>
      <c r="F260" s="16">
        <v>42835.31585648148</v>
      </c>
      <c r="G260" s="16"/>
      <c r="H260" s="16"/>
      <c r="I260" s="11">
        <v>319</v>
      </c>
      <c r="J260" s="54" t="str">
        <f t="shared" si="12"/>
        <v/>
      </c>
      <c r="K260" t="str">
        <f t="shared" si="13"/>
        <v/>
      </c>
      <c r="L260" t="str">
        <f t="shared" si="14"/>
        <v>NO</v>
      </c>
    </row>
    <row r="261" spans="1:12" hidden="1" x14ac:dyDescent="0.2">
      <c r="A261" s="17" t="s">
        <v>175</v>
      </c>
      <c r="B261" s="17" t="s">
        <v>37</v>
      </c>
      <c r="C261" s="16">
        <v>42835.315844907411</v>
      </c>
      <c r="D261" s="17" t="s">
        <v>5</v>
      </c>
      <c r="E261" s="17" t="s">
        <v>36</v>
      </c>
      <c r="F261" s="16">
        <v>42835.318356481483</v>
      </c>
      <c r="G261" s="16"/>
      <c r="H261" s="16"/>
      <c r="I261" s="11">
        <v>320</v>
      </c>
      <c r="J261" s="54" t="str">
        <f t="shared" si="12"/>
        <v/>
      </c>
      <c r="K261" t="str">
        <f t="shared" si="13"/>
        <v/>
      </c>
      <c r="L261" t="str">
        <f t="shared" si="14"/>
        <v>NO</v>
      </c>
    </row>
    <row r="262" spans="1:12" hidden="1" x14ac:dyDescent="0.2">
      <c r="A262" s="17" t="s">
        <v>175</v>
      </c>
      <c r="B262" s="17" t="s">
        <v>37</v>
      </c>
      <c r="C262" s="16">
        <v>42835.315844907411</v>
      </c>
      <c r="D262" s="17" t="s">
        <v>5</v>
      </c>
      <c r="E262" s="17" t="s">
        <v>46</v>
      </c>
      <c r="F262" s="16">
        <v>42835.371655092589</v>
      </c>
      <c r="G262" s="16"/>
      <c r="H262" s="16"/>
      <c r="I262" s="11">
        <v>321</v>
      </c>
      <c r="J262" s="54">
        <f t="shared" si="12"/>
        <v>42835.407592592594</v>
      </c>
      <c r="K262" t="str">
        <f t="shared" si="13"/>
        <v>FAS.T2.ETOOLS</v>
      </c>
      <c r="L262" t="str">
        <f t="shared" si="14"/>
        <v>NO</v>
      </c>
    </row>
    <row r="263" spans="1:12" hidden="1" x14ac:dyDescent="0.2">
      <c r="A263" s="17" t="s">
        <v>175</v>
      </c>
      <c r="B263" s="17" t="s">
        <v>37</v>
      </c>
      <c r="C263" s="16">
        <v>42835.315844907411</v>
      </c>
      <c r="D263" s="17" t="s">
        <v>5</v>
      </c>
      <c r="E263" s="17" t="s">
        <v>51</v>
      </c>
      <c r="F263" s="16">
        <v>42835.407592592594</v>
      </c>
      <c r="G263" s="16"/>
      <c r="H263" s="16"/>
      <c r="I263" s="11">
        <v>322</v>
      </c>
      <c r="J263" s="54" t="str">
        <f t="shared" si="12"/>
        <v/>
      </c>
      <c r="K263" t="str">
        <f t="shared" si="13"/>
        <v>FAS.T2.ETOOLS</v>
      </c>
      <c r="L263" t="str">
        <f t="shared" si="14"/>
        <v>NO</v>
      </c>
    </row>
    <row r="264" spans="1:12" hidden="1" x14ac:dyDescent="0.2">
      <c r="A264" s="17" t="s">
        <v>174</v>
      </c>
      <c r="B264" s="17" t="s">
        <v>37</v>
      </c>
      <c r="C264" s="16">
        <v>42836.635243055556</v>
      </c>
      <c r="D264" s="17" t="s">
        <v>5</v>
      </c>
      <c r="E264" s="17" t="s">
        <v>40</v>
      </c>
      <c r="F264" s="16">
        <v>42836.635254629633</v>
      </c>
      <c r="G264" s="16"/>
      <c r="H264" s="16"/>
      <c r="I264" s="11">
        <v>323</v>
      </c>
      <c r="J264" s="54" t="str">
        <f t="shared" si="12"/>
        <v/>
      </c>
      <c r="K264" t="str">
        <f t="shared" si="13"/>
        <v/>
      </c>
      <c r="L264" t="str">
        <f t="shared" si="14"/>
        <v>NO</v>
      </c>
    </row>
    <row r="265" spans="1:12" hidden="1" x14ac:dyDescent="0.2">
      <c r="A265" s="17" t="s">
        <v>174</v>
      </c>
      <c r="B265" s="17" t="s">
        <v>37</v>
      </c>
      <c r="C265" s="16">
        <v>42836.635243055556</v>
      </c>
      <c r="D265" s="17" t="s">
        <v>5</v>
      </c>
      <c r="E265" s="17" t="s">
        <v>36</v>
      </c>
      <c r="F265" s="16">
        <v>42836.635810185187</v>
      </c>
      <c r="G265" s="16"/>
      <c r="H265" s="16"/>
      <c r="I265" s="11">
        <v>324</v>
      </c>
      <c r="J265" s="54" t="str">
        <f t="shared" si="12"/>
        <v/>
      </c>
      <c r="K265" t="str">
        <f t="shared" si="13"/>
        <v/>
      </c>
      <c r="L265" t="str">
        <f t="shared" si="14"/>
        <v>NO</v>
      </c>
    </row>
    <row r="266" spans="1:12" hidden="1" x14ac:dyDescent="0.2">
      <c r="A266" s="17" t="s">
        <v>174</v>
      </c>
      <c r="B266" s="17" t="s">
        <v>37</v>
      </c>
      <c r="C266" s="16">
        <v>42836.635243055556</v>
      </c>
      <c r="D266" s="17" t="s">
        <v>5</v>
      </c>
      <c r="E266" s="17" t="s">
        <v>51</v>
      </c>
      <c r="F266" s="16">
        <v>42836.682743055557</v>
      </c>
      <c r="G266" s="16"/>
      <c r="H266" s="16"/>
      <c r="I266" s="11">
        <v>325</v>
      </c>
      <c r="J266" s="54" t="str">
        <f t="shared" si="12"/>
        <v/>
      </c>
      <c r="K266" t="str">
        <f t="shared" si="13"/>
        <v/>
      </c>
      <c r="L266" t="str">
        <f t="shared" si="14"/>
        <v>NO</v>
      </c>
    </row>
    <row r="267" spans="1:12" hidden="1" x14ac:dyDescent="0.2">
      <c r="A267" s="17" t="s">
        <v>174</v>
      </c>
      <c r="B267" s="17" t="s">
        <v>37</v>
      </c>
      <c r="C267" s="16">
        <v>42836.635243055556</v>
      </c>
      <c r="D267" s="17" t="s">
        <v>5</v>
      </c>
      <c r="E267" s="17" t="s">
        <v>46</v>
      </c>
      <c r="F267" s="16">
        <v>42836.683807870373</v>
      </c>
      <c r="G267" s="16"/>
      <c r="H267" s="16"/>
      <c r="I267" s="11">
        <v>326</v>
      </c>
      <c r="J267" s="54">
        <f t="shared" si="12"/>
        <v>42836.705925925926</v>
      </c>
      <c r="K267" t="str">
        <f t="shared" si="13"/>
        <v>FAS.T2.ETOOLS</v>
      </c>
      <c r="L267" t="str">
        <f t="shared" si="14"/>
        <v>NO</v>
      </c>
    </row>
    <row r="268" spans="1:12" hidden="1" x14ac:dyDescent="0.2">
      <c r="A268" s="17" t="s">
        <v>174</v>
      </c>
      <c r="B268" s="17" t="s">
        <v>37</v>
      </c>
      <c r="C268" s="16">
        <v>42836.635243055556</v>
      </c>
      <c r="D268" s="17" t="s">
        <v>5</v>
      </c>
      <c r="E268" s="17" t="s">
        <v>51</v>
      </c>
      <c r="F268" s="16">
        <v>42836.705925925926</v>
      </c>
      <c r="G268" s="16"/>
      <c r="H268" s="16"/>
      <c r="I268" s="11">
        <v>328</v>
      </c>
      <c r="J268" s="54" t="str">
        <f t="shared" si="12"/>
        <v/>
      </c>
      <c r="K268" t="str">
        <f t="shared" si="13"/>
        <v>FAS.T2.ETOOLS</v>
      </c>
      <c r="L268" t="str">
        <f t="shared" si="14"/>
        <v>NO</v>
      </c>
    </row>
    <row r="269" spans="1:12" hidden="1" x14ac:dyDescent="0.2">
      <c r="A269" s="17" t="s">
        <v>173</v>
      </c>
      <c r="B269" s="17" t="s">
        <v>37</v>
      </c>
      <c r="C269" s="16">
        <v>42837.417870370373</v>
      </c>
      <c r="D269" s="17" t="s">
        <v>5</v>
      </c>
      <c r="E269" s="17" t="s">
        <v>40</v>
      </c>
      <c r="F269" s="16">
        <v>42837.417881944442</v>
      </c>
      <c r="G269" s="16"/>
      <c r="H269" s="16"/>
      <c r="I269" s="11">
        <v>329</v>
      </c>
      <c r="J269" s="54" t="str">
        <f t="shared" si="12"/>
        <v/>
      </c>
      <c r="K269" t="str">
        <f t="shared" si="13"/>
        <v/>
      </c>
      <c r="L269" t="str">
        <f t="shared" si="14"/>
        <v/>
      </c>
    </row>
    <row r="270" spans="1:12" hidden="1" x14ac:dyDescent="0.2">
      <c r="A270" s="17" t="s">
        <v>173</v>
      </c>
      <c r="B270" s="17" t="s">
        <v>37</v>
      </c>
      <c r="C270" s="16">
        <v>42837.417870370373</v>
      </c>
      <c r="D270" s="17" t="s">
        <v>5</v>
      </c>
      <c r="E270" s="17" t="s">
        <v>41</v>
      </c>
      <c r="F270" s="16">
        <v>42837.425173611111</v>
      </c>
      <c r="G270" s="16"/>
      <c r="H270" s="16"/>
      <c r="I270" s="11">
        <v>330</v>
      </c>
      <c r="J270" s="54" t="str">
        <f t="shared" si="12"/>
        <v/>
      </c>
      <c r="K270" t="str">
        <f t="shared" si="13"/>
        <v/>
      </c>
      <c r="L270" t="str">
        <f t="shared" si="14"/>
        <v/>
      </c>
    </row>
    <row r="271" spans="1:12" hidden="1" x14ac:dyDescent="0.2">
      <c r="A271" s="17" t="s">
        <v>172</v>
      </c>
      <c r="B271" s="17" t="s">
        <v>37</v>
      </c>
      <c r="C271" s="16">
        <v>42838.62427083333</v>
      </c>
      <c r="D271" s="17" t="s">
        <v>5</v>
      </c>
      <c r="E271" s="17" t="s">
        <v>40</v>
      </c>
      <c r="F271" s="16">
        <v>42838.624305555553</v>
      </c>
      <c r="G271" s="16"/>
      <c r="H271" s="16"/>
      <c r="I271" s="11">
        <v>332</v>
      </c>
      <c r="J271" s="54" t="str">
        <f t="shared" si="12"/>
        <v/>
      </c>
      <c r="K271" t="str">
        <f t="shared" si="13"/>
        <v/>
      </c>
      <c r="L271" t="str">
        <f t="shared" si="14"/>
        <v/>
      </c>
    </row>
    <row r="272" spans="1:12" hidden="1" x14ac:dyDescent="0.2">
      <c r="A272" s="17" t="s">
        <v>172</v>
      </c>
      <c r="B272" s="17" t="s">
        <v>37</v>
      </c>
      <c r="C272" s="16">
        <v>42838.62427083333</v>
      </c>
      <c r="D272" s="17" t="s">
        <v>5</v>
      </c>
      <c r="E272" s="17" t="s">
        <v>36</v>
      </c>
      <c r="F272" s="16">
        <v>42838.624791666669</v>
      </c>
      <c r="G272" s="16"/>
      <c r="H272" s="16"/>
      <c r="I272" s="11">
        <v>333</v>
      </c>
      <c r="J272" s="54" t="str">
        <f t="shared" si="12"/>
        <v/>
      </c>
      <c r="K272" t="str">
        <f t="shared" si="13"/>
        <v/>
      </c>
      <c r="L272" t="str">
        <f t="shared" si="14"/>
        <v/>
      </c>
    </row>
    <row r="273" spans="1:12" hidden="1" x14ac:dyDescent="0.2">
      <c r="A273" s="17" t="s">
        <v>172</v>
      </c>
      <c r="B273" s="17" t="s">
        <v>37</v>
      </c>
      <c r="C273" s="16">
        <v>42838.62427083333</v>
      </c>
      <c r="D273" s="17" t="s">
        <v>5</v>
      </c>
      <c r="E273" s="17" t="s">
        <v>41</v>
      </c>
      <c r="F273" s="16">
        <v>42839.555150462962</v>
      </c>
      <c r="G273" s="16"/>
      <c r="H273" s="16"/>
      <c r="I273" s="11">
        <v>335</v>
      </c>
      <c r="J273" s="54" t="str">
        <f t="shared" si="12"/>
        <v/>
      </c>
      <c r="K273" t="str">
        <f t="shared" si="13"/>
        <v/>
      </c>
      <c r="L273" t="str">
        <f t="shared" si="14"/>
        <v/>
      </c>
    </row>
    <row r="274" spans="1:12" hidden="1" x14ac:dyDescent="0.2">
      <c r="A274" s="17" t="s">
        <v>171</v>
      </c>
      <c r="B274" s="17" t="s">
        <v>37</v>
      </c>
      <c r="C274" s="16">
        <v>42845.499374999999</v>
      </c>
      <c r="D274" s="17" t="s">
        <v>5</v>
      </c>
      <c r="E274" s="17" t="s">
        <v>40</v>
      </c>
      <c r="F274" s="16">
        <v>42845.499456018515</v>
      </c>
      <c r="G274" s="16"/>
      <c r="H274" s="16"/>
      <c r="I274" s="11">
        <v>337</v>
      </c>
      <c r="J274" s="54" t="str">
        <f t="shared" si="12"/>
        <v/>
      </c>
      <c r="K274" t="str">
        <f t="shared" si="13"/>
        <v/>
      </c>
      <c r="L274" t="str">
        <f t="shared" si="14"/>
        <v/>
      </c>
    </row>
    <row r="275" spans="1:12" hidden="1" x14ac:dyDescent="0.2">
      <c r="A275" s="17" t="s">
        <v>171</v>
      </c>
      <c r="B275" s="17" t="s">
        <v>37</v>
      </c>
      <c r="C275" s="16">
        <v>42845.499374999999</v>
      </c>
      <c r="D275" s="17" t="s">
        <v>5</v>
      </c>
      <c r="E275" s="17" t="s">
        <v>36</v>
      </c>
      <c r="F275" s="16">
        <v>42845.512824074074</v>
      </c>
      <c r="G275" s="16"/>
      <c r="H275" s="16"/>
      <c r="I275" s="11">
        <v>338</v>
      </c>
      <c r="J275" s="54" t="str">
        <f t="shared" si="12"/>
        <v/>
      </c>
      <c r="K275" t="str">
        <f t="shared" si="13"/>
        <v/>
      </c>
      <c r="L275" t="str">
        <f t="shared" si="14"/>
        <v/>
      </c>
    </row>
    <row r="276" spans="1:12" hidden="1" x14ac:dyDescent="0.2">
      <c r="A276" s="17" t="s">
        <v>171</v>
      </c>
      <c r="B276" s="17" t="s">
        <v>37</v>
      </c>
      <c r="C276" s="16">
        <v>42845.499374999999</v>
      </c>
      <c r="D276" s="17" t="s">
        <v>5</v>
      </c>
      <c r="E276" s="17" t="s">
        <v>41</v>
      </c>
      <c r="F276" s="16">
        <v>42845.642731481479</v>
      </c>
      <c r="G276" s="16"/>
      <c r="H276" s="16"/>
      <c r="I276" s="11">
        <v>340</v>
      </c>
      <c r="J276" s="54" t="str">
        <f t="shared" si="12"/>
        <v/>
      </c>
      <c r="K276" t="str">
        <f t="shared" si="13"/>
        <v/>
      </c>
      <c r="L276" t="str">
        <f t="shared" si="14"/>
        <v/>
      </c>
    </row>
    <row r="277" spans="1:12" hidden="1" x14ac:dyDescent="0.2">
      <c r="A277" s="17" t="s">
        <v>171</v>
      </c>
      <c r="B277" s="17" t="s">
        <v>37</v>
      </c>
      <c r="C277" s="16">
        <v>42845.499374999999</v>
      </c>
      <c r="D277" s="17" t="s">
        <v>5</v>
      </c>
      <c r="E277" s="17" t="s">
        <v>36</v>
      </c>
      <c r="F277" s="16">
        <v>42845.658761574072</v>
      </c>
      <c r="G277" s="16"/>
      <c r="H277" s="16"/>
      <c r="I277" s="11">
        <v>341</v>
      </c>
      <c r="J277" s="54" t="str">
        <f t="shared" si="12"/>
        <v/>
      </c>
      <c r="K277" t="str">
        <f t="shared" si="13"/>
        <v/>
      </c>
      <c r="L277" t="str">
        <f t="shared" si="14"/>
        <v/>
      </c>
    </row>
    <row r="278" spans="1:12" hidden="1" x14ac:dyDescent="0.2">
      <c r="A278" s="17" t="s">
        <v>171</v>
      </c>
      <c r="B278" s="17" t="s">
        <v>37</v>
      </c>
      <c r="C278" s="16">
        <v>42845.499374999999</v>
      </c>
      <c r="D278" s="17" t="s">
        <v>5</v>
      </c>
      <c r="E278" s="17" t="s">
        <v>51</v>
      </c>
      <c r="F278" s="16">
        <v>42845.676712962966</v>
      </c>
      <c r="G278" s="16"/>
      <c r="H278" s="16"/>
      <c r="I278" s="11">
        <v>342</v>
      </c>
      <c r="J278" s="54" t="str">
        <f t="shared" si="12"/>
        <v/>
      </c>
      <c r="K278" t="str">
        <f t="shared" si="13"/>
        <v/>
      </c>
      <c r="L278" t="str">
        <f t="shared" si="14"/>
        <v/>
      </c>
    </row>
    <row r="279" spans="1:12" hidden="1" x14ac:dyDescent="0.2">
      <c r="A279" s="17" t="s">
        <v>170</v>
      </c>
      <c r="B279" s="17" t="s">
        <v>37</v>
      </c>
      <c r="C279" s="16">
        <v>42846.585173611114</v>
      </c>
      <c r="D279" s="17" t="s">
        <v>5</v>
      </c>
      <c r="E279" s="17" t="s">
        <v>40</v>
      </c>
      <c r="F279" s="16">
        <v>42846.585185185184</v>
      </c>
      <c r="G279" s="16"/>
      <c r="H279" s="16"/>
      <c r="I279" s="11">
        <v>343</v>
      </c>
      <c r="J279" s="54" t="str">
        <f t="shared" si="12"/>
        <v/>
      </c>
      <c r="K279" t="str">
        <f t="shared" si="13"/>
        <v/>
      </c>
      <c r="L279" t="str">
        <f t="shared" si="14"/>
        <v>NO</v>
      </c>
    </row>
    <row r="280" spans="1:12" hidden="1" x14ac:dyDescent="0.2">
      <c r="A280" s="17" t="s">
        <v>170</v>
      </c>
      <c r="B280" s="17" t="s">
        <v>37</v>
      </c>
      <c r="C280" s="16">
        <v>42846.585173611114</v>
      </c>
      <c r="D280" s="17" t="s">
        <v>5</v>
      </c>
      <c r="E280" s="17" t="s">
        <v>36</v>
      </c>
      <c r="F280" s="16">
        <v>42846.589074074072</v>
      </c>
      <c r="G280" s="16"/>
      <c r="H280" s="16"/>
      <c r="I280" s="11">
        <v>344</v>
      </c>
      <c r="J280" s="54" t="str">
        <f t="shared" si="12"/>
        <v/>
      </c>
      <c r="K280" t="str">
        <f t="shared" si="13"/>
        <v/>
      </c>
      <c r="L280" t="str">
        <f t="shared" si="14"/>
        <v>NO</v>
      </c>
    </row>
    <row r="281" spans="1:12" hidden="1" x14ac:dyDescent="0.2">
      <c r="A281" s="17" t="s">
        <v>170</v>
      </c>
      <c r="B281" s="17" t="s">
        <v>37</v>
      </c>
      <c r="C281" s="16">
        <v>42846.585173611114</v>
      </c>
      <c r="D281" s="17" t="s">
        <v>5</v>
      </c>
      <c r="E281" s="17" t="s">
        <v>46</v>
      </c>
      <c r="F281" s="16">
        <v>42846.605694444443</v>
      </c>
      <c r="G281" s="16"/>
      <c r="H281" s="16"/>
      <c r="I281" s="11">
        <v>346</v>
      </c>
      <c r="J281" s="54">
        <f t="shared" si="12"/>
        <v>42846.64166666667</v>
      </c>
      <c r="K281" t="str">
        <f t="shared" si="13"/>
        <v>FAS.T2.ETOOLS</v>
      </c>
      <c r="L281" t="str">
        <f t="shared" si="14"/>
        <v>NO</v>
      </c>
    </row>
    <row r="282" spans="1:12" hidden="1" x14ac:dyDescent="0.2">
      <c r="A282" s="17" t="s">
        <v>170</v>
      </c>
      <c r="B282" s="17" t="s">
        <v>37</v>
      </c>
      <c r="C282" s="16">
        <v>42846.585173611114</v>
      </c>
      <c r="D282" s="17" t="s">
        <v>5</v>
      </c>
      <c r="E282" s="17" t="s">
        <v>36</v>
      </c>
      <c r="F282" s="16">
        <v>42846.64166666667</v>
      </c>
      <c r="G282" s="16"/>
      <c r="H282" s="16"/>
      <c r="I282" s="11">
        <v>347</v>
      </c>
      <c r="J282" s="54" t="str">
        <f t="shared" si="12"/>
        <v/>
      </c>
      <c r="K282" t="str">
        <f t="shared" si="13"/>
        <v>FAS.T2.ETOOLS</v>
      </c>
      <c r="L282" t="str">
        <f t="shared" si="14"/>
        <v>NO</v>
      </c>
    </row>
    <row r="283" spans="1:12" hidden="1" x14ac:dyDescent="0.2">
      <c r="A283" s="17" t="s">
        <v>170</v>
      </c>
      <c r="B283" s="17" t="s">
        <v>37</v>
      </c>
      <c r="C283" s="16">
        <v>42846.585173611114</v>
      </c>
      <c r="D283" s="17" t="s">
        <v>5</v>
      </c>
      <c r="E283" s="17" t="s">
        <v>41</v>
      </c>
      <c r="F283" s="16">
        <v>42853.688935185186</v>
      </c>
      <c r="G283" s="16"/>
      <c r="H283" s="16"/>
      <c r="I283" s="11">
        <v>349</v>
      </c>
      <c r="J283" s="54" t="str">
        <f t="shared" si="12"/>
        <v/>
      </c>
      <c r="K283" t="str">
        <f t="shared" si="13"/>
        <v>FAS.T2.ETOOLS</v>
      </c>
      <c r="L283" t="str">
        <f t="shared" si="14"/>
        <v>NO</v>
      </c>
    </row>
    <row r="284" spans="1:12" hidden="1" x14ac:dyDescent="0.2">
      <c r="A284" s="17" t="s">
        <v>169</v>
      </c>
      <c r="B284" s="17" t="s">
        <v>37</v>
      </c>
      <c r="C284" s="16">
        <v>42849.737280092595</v>
      </c>
      <c r="D284" s="17" t="s">
        <v>5</v>
      </c>
      <c r="E284" s="17" t="s">
        <v>40</v>
      </c>
      <c r="F284" s="16">
        <v>42849.737349537034</v>
      </c>
      <c r="G284" s="16"/>
      <c r="H284" s="16"/>
      <c r="I284" s="11">
        <v>351</v>
      </c>
      <c r="J284" s="54" t="str">
        <f t="shared" si="12"/>
        <v/>
      </c>
      <c r="K284" t="str">
        <f t="shared" si="13"/>
        <v/>
      </c>
      <c r="L284" t="str">
        <f t="shared" si="14"/>
        <v/>
      </c>
    </row>
    <row r="285" spans="1:12" hidden="1" x14ac:dyDescent="0.2">
      <c r="A285" s="17" t="s">
        <v>169</v>
      </c>
      <c r="B285" s="17" t="s">
        <v>37</v>
      </c>
      <c r="C285" s="16">
        <v>42849.737280092595</v>
      </c>
      <c r="D285" s="17" t="s">
        <v>5</v>
      </c>
      <c r="E285" s="17" t="s">
        <v>36</v>
      </c>
      <c r="F285" s="16">
        <v>42849.737939814811</v>
      </c>
      <c r="G285" s="16"/>
      <c r="H285" s="16"/>
      <c r="I285" s="11">
        <v>352</v>
      </c>
      <c r="J285" s="54" t="str">
        <f t="shared" si="12"/>
        <v/>
      </c>
      <c r="K285" t="str">
        <f t="shared" si="13"/>
        <v/>
      </c>
      <c r="L285" t="str">
        <f t="shared" si="14"/>
        <v/>
      </c>
    </row>
    <row r="286" spans="1:12" hidden="1" x14ac:dyDescent="0.2">
      <c r="A286" s="17" t="s">
        <v>169</v>
      </c>
      <c r="B286" s="17" t="s">
        <v>37</v>
      </c>
      <c r="C286" s="16">
        <v>42849.737280092595</v>
      </c>
      <c r="D286" s="17" t="s">
        <v>5</v>
      </c>
      <c r="E286" s="17" t="s">
        <v>46</v>
      </c>
      <c r="F286" s="16">
        <v>42850.368113425924</v>
      </c>
      <c r="G286" s="16"/>
      <c r="H286" s="16"/>
      <c r="I286" s="11">
        <v>354</v>
      </c>
      <c r="J286" s="54" t="str">
        <f t="shared" si="12"/>
        <v/>
      </c>
      <c r="K286" t="str">
        <f t="shared" si="13"/>
        <v>FAS.T2.ETOOLS</v>
      </c>
      <c r="L286" t="str">
        <f t="shared" si="14"/>
        <v/>
      </c>
    </row>
    <row r="287" spans="1:12" hidden="1" x14ac:dyDescent="0.2">
      <c r="A287" s="17" t="s">
        <v>168</v>
      </c>
      <c r="B287" s="17" t="s">
        <v>37</v>
      </c>
      <c r="C287" s="16">
        <v>42851.411134259259</v>
      </c>
      <c r="D287" s="17" t="s">
        <v>5</v>
      </c>
      <c r="E287" s="17" t="s">
        <v>36</v>
      </c>
      <c r="F287" s="16">
        <v>42851.417881944442</v>
      </c>
      <c r="G287" s="16"/>
      <c r="H287" s="16"/>
      <c r="I287" s="11">
        <v>357</v>
      </c>
      <c r="J287" s="54" t="str">
        <f t="shared" si="12"/>
        <v/>
      </c>
      <c r="K287" t="str">
        <f t="shared" si="13"/>
        <v/>
      </c>
      <c r="L287" t="str">
        <f t="shared" si="14"/>
        <v/>
      </c>
    </row>
    <row r="288" spans="1:12" hidden="1" x14ac:dyDescent="0.2">
      <c r="A288" s="17" t="s">
        <v>168</v>
      </c>
      <c r="B288" s="17" t="s">
        <v>37</v>
      </c>
      <c r="C288" s="16">
        <v>42851.411134259259</v>
      </c>
      <c r="D288" s="17" t="s">
        <v>5</v>
      </c>
      <c r="E288" s="17" t="s">
        <v>41</v>
      </c>
      <c r="F288" s="16">
        <v>42851.421574074076</v>
      </c>
      <c r="G288" s="16"/>
      <c r="H288" s="16"/>
      <c r="I288" s="11">
        <v>359</v>
      </c>
      <c r="J288" s="54" t="str">
        <f t="shared" si="12"/>
        <v/>
      </c>
      <c r="K288" t="str">
        <f t="shared" si="13"/>
        <v/>
      </c>
      <c r="L288" t="str">
        <f t="shared" si="14"/>
        <v/>
      </c>
    </row>
    <row r="289" spans="1:12" hidden="1" x14ac:dyDescent="0.2">
      <c r="A289" s="17" t="s">
        <v>167</v>
      </c>
      <c r="B289" s="17" t="s">
        <v>37</v>
      </c>
      <c r="C289" s="16">
        <v>42851.60601851852</v>
      </c>
      <c r="D289" s="17" t="s">
        <v>5</v>
      </c>
      <c r="E289" s="17" t="s">
        <v>40</v>
      </c>
      <c r="F289" s="16">
        <v>42851.606041666666</v>
      </c>
      <c r="G289" s="16"/>
      <c r="H289" s="16"/>
      <c r="I289" s="11">
        <v>361</v>
      </c>
      <c r="J289" s="54" t="str">
        <f t="shared" si="12"/>
        <v/>
      </c>
      <c r="K289" t="str">
        <f t="shared" si="13"/>
        <v/>
      </c>
      <c r="L289" t="str">
        <f t="shared" si="14"/>
        <v/>
      </c>
    </row>
    <row r="290" spans="1:12" hidden="1" x14ac:dyDescent="0.2">
      <c r="A290" s="17" t="s">
        <v>167</v>
      </c>
      <c r="B290" s="17" t="s">
        <v>37</v>
      </c>
      <c r="C290" s="16">
        <v>42851.60601851852</v>
      </c>
      <c r="D290" s="17" t="s">
        <v>5</v>
      </c>
      <c r="E290" s="17" t="s">
        <v>36</v>
      </c>
      <c r="F290" s="16">
        <v>42851.606400462966</v>
      </c>
      <c r="G290" s="16"/>
      <c r="H290" s="16"/>
      <c r="I290" s="11">
        <v>362</v>
      </c>
      <c r="J290" s="54" t="str">
        <f t="shared" si="12"/>
        <v/>
      </c>
      <c r="K290" t="str">
        <f t="shared" si="13"/>
        <v/>
      </c>
      <c r="L290" t="str">
        <f t="shared" si="14"/>
        <v/>
      </c>
    </row>
    <row r="291" spans="1:12" hidden="1" x14ac:dyDescent="0.2">
      <c r="A291" s="17" t="s">
        <v>167</v>
      </c>
      <c r="B291" s="17" t="s">
        <v>37</v>
      </c>
      <c r="C291" s="16">
        <v>42851.60601851852</v>
      </c>
      <c r="D291" s="17" t="s">
        <v>5</v>
      </c>
      <c r="E291" s="17" t="s">
        <v>41</v>
      </c>
      <c r="F291" s="16">
        <v>42852.562951388885</v>
      </c>
      <c r="G291" s="16"/>
      <c r="H291" s="16"/>
      <c r="I291" s="11">
        <v>364</v>
      </c>
      <c r="J291" s="54" t="str">
        <f t="shared" si="12"/>
        <v/>
      </c>
      <c r="K291" t="str">
        <f t="shared" si="13"/>
        <v/>
      </c>
      <c r="L291" t="str">
        <f t="shared" si="14"/>
        <v/>
      </c>
    </row>
    <row r="292" spans="1:12" hidden="1" x14ac:dyDescent="0.2">
      <c r="A292" s="17" t="s">
        <v>166</v>
      </c>
      <c r="B292" s="17" t="s">
        <v>37</v>
      </c>
      <c r="C292" s="16">
        <v>42851.61446759259</v>
      </c>
      <c r="D292" s="17" t="s">
        <v>5</v>
      </c>
      <c r="E292" s="17" t="s">
        <v>40</v>
      </c>
      <c r="F292" s="16">
        <v>42851.614548611113</v>
      </c>
      <c r="G292" s="16"/>
      <c r="H292" s="16"/>
      <c r="I292" s="11">
        <v>366</v>
      </c>
      <c r="J292" s="54" t="str">
        <f t="shared" si="12"/>
        <v/>
      </c>
      <c r="K292" t="str">
        <f t="shared" si="13"/>
        <v/>
      </c>
      <c r="L292" t="str">
        <f t="shared" si="14"/>
        <v>NO</v>
      </c>
    </row>
    <row r="293" spans="1:12" hidden="1" x14ac:dyDescent="0.2">
      <c r="A293" s="17" t="s">
        <v>166</v>
      </c>
      <c r="B293" s="17" t="s">
        <v>37</v>
      </c>
      <c r="C293" s="16">
        <v>42851.61446759259</v>
      </c>
      <c r="D293" s="17" t="s">
        <v>5</v>
      </c>
      <c r="E293" s="17" t="s">
        <v>46</v>
      </c>
      <c r="F293" s="16">
        <v>42851.626701388886</v>
      </c>
      <c r="G293" s="16"/>
      <c r="H293" s="16"/>
      <c r="I293" s="11">
        <v>367</v>
      </c>
      <c r="J293" s="54">
        <f t="shared" si="12"/>
        <v>42853.417604166665</v>
      </c>
      <c r="K293" t="str">
        <f t="shared" si="13"/>
        <v>FAS.T2.ETOOLS</v>
      </c>
      <c r="L293" t="str">
        <f t="shared" si="14"/>
        <v>NO</v>
      </c>
    </row>
    <row r="294" spans="1:12" hidden="1" x14ac:dyDescent="0.2">
      <c r="A294" s="17" t="s">
        <v>166</v>
      </c>
      <c r="B294" s="17" t="s">
        <v>37</v>
      </c>
      <c r="C294" s="16">
        <v>42851.61446759259</v>
      </c>
      <c r="D294" s="17" t="s">
        <v>5</v>
      </c>
      <c r="E294" s="17" t="s">
        <v>41</v>
      </c>
      <c r="F294" s="16">
        <v>42853.417604166665</v>
      </c>
      <c r="G294" s="16"/>
      <c r="H294" s="16"/>
      <c r="I294" s="11">
        <v>369</v>
      </c>
      <c r="J294" s="54" t="str">
        <f t="shared" si="12"/>
        <v/>
      </c>
      <c r="K294" t="str">
        <f t="shared" si="13"/>
        <v>FAS.T2.ETOOLS</v>
      </c>
      <c r="L294" t="str">
        <f t="shared" si="14"/>
        <v>NO</v>
      </c>
    </row>
    <row r="295" spans="1:12" hidden="1" x14ac:dyDescent="0.2">
      <c r="A295" s="17" t="s">
        <v>165</v>
      </c>
      <c r="B295" s="17" t="s">
        <v>37</v>
      </c>
      <c r="C295" s="16">
        <v>42852.448252314818</v>
      </c>
      <c r="D295" s="17" t="s">
        <v>5</v>
      </c>
      <c r="E295" s="17" t="s">
        <v>40</v>
      </c>
      <c r="F295" s="16">
        <v>42852.448333333334</v>
      </c>
      <c r="G295" s="16"/>
      <c r="H295" s="16"/>
      <c r="I295" s="11">
        <v>371</v>
      </c>
      <c r="J295" s="54" t="str">
        <f t="shared" si="12"/>
        <v/>
      </c>
      <c r="K295" t="str">
        <f t="shared" si="13"/>
        <v/>
      </c>
      <c r="L295" t="str">
        <f t="shared" si="14"/>
        <v>NO</v>
      </c>
    </row>
    <row r="296" spans="1:12" hidden="1" x14ac:dyDescent="0.2">
      <c r="A296" s="17" t="s">
        <v>165</v>
      </c>
      <c r="B296" s="17" t="s">
        <v>37</v>
      </c>
      <c r="C296" s="16">
        <v>42852.448252314818</v>
      </c>
      <c r="D296" s="17" t="s">
        <v>5</v>
      </c>
      <c r="E296" s="17" t="s">
        <v>46</v>
      </c>
      <c r="F296" s="16">
        <v>42852.465578703705</v>
      </c>
      <c r="G296" s="16"/>
      <c r="H296" s="16"/>
      <c r="I296" s="11">
        <v>372</v>
      </c>
      <c r="J296" s="54">
        <f t="shared" si="12"/>
        <v>42852.61414351852</v>
      </c>
      <c r="K296" t="str">
        <f t="shared" si="13"/>
        <v>FAS.T2.ETOOLS</v>
      </c>
      <c r="L296" t="str">
        <f t="shared" si="14"/>
        <v>NO</v>
      </c>
    </row>
    <row r="297" spans="1:12" hidden="1" x14ac:dyDescent="0.2">
      <c r="A297" s="17" t="s">
        <v>165</v>
      </c>
      <c r="B297" s="17" t="s">
        <v>37</v>
      </c>
      <c r="C297" s="16">
        <v>42852.448252314818</v>
      </c>
      <c r="D297" s="17" t="s">
        <v>5</v>
      </c>
      <c r="E297" s="17" t="s">
        <v>41</v>
      </c>
      <c r="F297" s="16">
        <v>42852.61414351852</v>
      </c>
      <c r="G297" s="16"/>
      <c r="H297" s="16"/>
      <c r="I297" s="11">
        <v>375</v>
      </c>
      <c r="J297" s="54" t="str">
        <f t="shared" si="12"/>
        <v/>
      </c>
      <c r="K297" t="str">
        <f t="shared" si="13"/>
        <v>FAS.T2.ETOOLS</v>
      </c>
      <c r="L297" t="str">
        <f t="shared" si="14"/>
        <v>NO</v>
      </c>
    </row>
    <row r="298" spans="1:12" hidden="1" x14ac:dyDescent="0.2">
      <c r="A298" s="17" t="s">
        <v>163</v>
      </c>
      <c r="B298" s="17" t="s">
        <v>65</v>
      </c>
      <c r="C298" s="16">
        <v>42853.507175925923</v>
      </c>
      <c r="D298" s="17" t="s">
        <v>5</v>
      </c>
      <c r="E298" s="17" t="s">
        <v>40</v>
      </c>
      <c r="F298" s="16">
        <v>42853.507222222222</v>
      </c>
      <c r="G298" s="16"/>
      <c r="H298" s="16"/>
      <c r="I298" s="11">
        <v>377</v>
      </c>
      <c r="J298" s="54" t="str">
        <f t="shared" si="12"/>
        <v/>
      </c>
      <c r="K298" t="str">
        <f t="shared" si="13"/>
        <v/>
      </c>
      <c r="L298" t="str">
        <f t="shared" si="14"/>
        <v>NO</v>
      </c>
    </row>
    <row r="299" spans="1:12" hidden="1" x14ac:dyDescent="0.2">
      <c r="A299" s="17" t="s">
        <v>163</v>
      </c>
      <c r="B299" s="17" t="s">
        <v>65</v>
      </c>
      <c r="C299" s="16">
        <v>42853.507175925923</v>
      </c>
      <c r="D299" s="17" t="s">
        <v>5</v>
      </c>
      <c r="E299" s="17" t="s">
        <v>36</v>
      </c>
      <c r="F299" s="16">
        <v>42853.508391203701</v>
      </c>
      <c r="G299" s="16"/>
      <c r="H299" s="16"/>
      <c r="I299" s="11">
        <v>378</v>
      </c>
      <c r="J299" s="54" t="str">
        <f t="shared" si="12"/>
        <v/>
      </c>
      <c r="K299" t="str">
        <f t="shared" si="13"/>
        <v/>
      </c>
      <c r="L299" t="str">
        <f t="shared" si="14"/>
        <v>NO</v>
      </c>
    </row>
    <row r="300" spans="1:12" hidden="1" x14ac:dyDescent="0.2">
      <c r="A300" s="17" t="s">
        <v>163</v>
      </c>
      <c r="B300" s="17" t="s">
        <v>65</v>
      </c>
      <c r="C300" s="16">
        <v>42853.507175925923</v>
      </c>
      <c r="D300" s="17" t="s">
        <v>5</v>
      </c>
      <c r="E300" s="17" t="s">
        <v>46</v>
      </c>
      <c r="F300" s="16">
        <v>42853.518460648149</v>
      </c>
      <c r="G300" s="16"/>
      <c r="H300" s="16"/>
      <c r="I300" s="11">
        <v>379</v>
      </c>
      <c r="J300" s="54">
        <f t="shared" si="12"/>
        <v>42880.356805555559</v>
      </c>
      <c r="K300" t="str">
        <f t="shared" si="13"/>
        <v>FAS.T2.ETOOLS</v>
      </c>
      <c r="L300" t="str">
        <f t="shared" si="14"/>
        <v>NO</v>
      </c>
    </row>
    <row r="301" spans="1:12" hidden="1" x14ac:dyDescent="0.2">
      <c r="A301" s="17" t="s">
        <v>163</v>
      </c>
      <c r="B301" s="17" t="s">
        <v>65</v>
      </c>
      <c r="C301" s="16">
        <v>42853.507175925923</v>
      </c>
      <c r="D301" s="17" t="s">
        <v>5</v>
      </c>
      <c r="E301" s="17" t="s">
        <v>153</v>
      </c>
      <c r="F301" s="16">
        <v>42880.356805555559</v>
      </c>
      <c r="G301" s="16"/>
      <c r="H301" s="16"/>
      <c r="I301" s="11">
        <v>381</v>
      </c>
      <c r="J301" s="54" t="str">
        <f t="shared" si="12"/>
        <v/>
      </c>
      <c r="K301" t="str">
        <f t="shared" si="13"/>
        <v>FAS.T2.ETOOLS</v>
      </c>
      <c r="L301" t="str">
        <f t="shared" si="14"/>
        <v>NO</v>
      </c>
    </row>
    <row r="302" spans="1:12" hidden="1" x14ac:dyDescent="0.2">
      <c r="A302" s="17" t="s">
        <v>163</v>
      </c>
      <c r="B302" s="17" t="s">
        <v>65</v>
      </c>
      <c r="C302" s="16">
        <v>42853.507175925923</v>
      </c>
      <c r="D302" s="17" t="s">
        <v>5</v>
      </c>
      <c r="E302" s="17" t="s">
        <v>41</v>
      </c>
      <c r="F302" s="16">
        <v>42887.443645833337</v>
      </c>
      <c r="G302" s="16"/>
      <c r="H302" s="16"/>
      <c r="I302" s="11">
        <v>383</v>
      </c>
      <c r="J302" s="54" t="str">
        <f t="shared" si="12"/>
        <v/>
      </c>
      <c r="K302" t="str">
        <f t="shared" si="13"/>
        <v>FAS.T2.ETOOLS</v>
      </c>
      <c r="L302" t="str">
        <f t="shared" si="14"/>
        <v>NO</v>
      </c>
    </row>
    <row r="303" spans="1:12" hidden="1" x14ac:dyDescent="0.2">
      <c r="A303" s="17" t="s">
        <v>162</v>
      </c>
      <c r="B303" s="17" t="s">
        <v>37</v>
      </c>
      <c r="C303" s="16">
        <v>42857.474942129629</v>
      </c>
      <c r="D303" s="17" t="s">
        <v>5</v>
      </c>
      <c r="E303" s="17" t="s">
        <v>40</v>
      </c>
      <c r="F303" s="16">
        <v>42857.474965277775</v>
      </c>
      <c r="G303" s="16"/>
      <c r="H303" s="16"/>
      <c r="I303" s="11">
        <v>385</v>
      </c>
      <c r="J303" s="54" t="str">
        <f t="shared" si="12"/>
        <v/>
      </c>
      <c r="K303" t="str">
        <f t="shared" si="13"/>
        <v/>
      </c>
      <c r="L303" t="str">
        <f t="shared" si="14"/>
        <v/>
      </c>
    </row>
    <row r="304" spans="1:12" hidden="1" x14ac:dyDescent="0.2">
      <c r="A304" s="17" t="s">
        <v>162</v>
      </c>
      <c r="B304" s="17" t="s">
        <v>37</v>
      </c>
      <c r="C304" s="16">
        <v>42857.474942129629</v>
      </c>
      <c r="D304" s="17" t="s">
        <v>5</v>
      </c>
      <c r="E304" s="17" t="s">
        <v>36</v>
      </c>
      <c r="F304" s="16">
        <v>42857.48269675926</v>
      </c>
      <c r="G304" s="16"/>
      <c r="H304" s="16"/>
      <c r="I304" s="11">
        <v>386</v>
      </c>
      <c r="J304" s="54" t="str">
        <f t="shared" si="12"/>
        <v/>
      </c>
      <c r="K304" t="str">
        <f t="shared" si="13"/>
        <v/>
      </c>
      <c r="L304" t="str">
        <f t="shared" si="14"/>
        <v/>
      </c>
    </row>
    <row r="305" spans="1:12" hidden="1" x14ac:dyDescent="0.2">
      <c r="A305" s="17" t="s">
        <v>162</v>
      </c>
      <c r="B305" s="17" t="s">
        <v>37</v>
      </c>
      <c r="C305" s="16">
        <v>42857.474942129629</v>
      </c>
      <c r="D305" s="17" t="s">
        <v>5</v>
      </c>
      <c r="E305" s="17" t="s">
        <v>51</v>
      </c>
      <c r="F305" s="16">
        <v>42857.542453703703</v>
      </c>
      <c r="G305" s="16"/>
      <c r="H305" s="16"/>
      <c r="I305" s="11">
        <v>388</v>
      </c>
      <c r="J305" s="54" t="str">
        <f t="shared" si="12"/>
        <v/>
      </c>
      <c r="K305" t="str">
        <f t="shared" si="13"/>
        <v/>
      </c>
      <c r="L305" t="str">
        <f t="shared" si="14"/>
        <v/>
      </c>
    </row>
    <row r="306" spans="1:12" hidden="1" x14ac:dyDescent="0.2">
      <c r="A306" s="17" t="s">
        <v>161</v>
      </c>
      <c r="B306" s="17" t="s">
        <v>65</v>
      </c>
      <c r="C306" s="16">
        <v>42857.476481481484</v>
      </c>
      <c r="D306" s="17" t="s">
        <v>5</v>
      </c>
      <c r="E306" s="17" t="s">
        <v>40</v>
      </c>
      <c r="F306" s="16">
        <v>42857.476493055554</v>
      </c>
      <c r="G306" s="16"/>
      <c r="H306" s="16"/>
      <c r="I306" s="11">
        <v>390</v>
      </c>
      <c r="J306" s="54" t="str">
        <f t="shared" si="12"/>
        <v/>
      </c>
      <c r="K306" t="str">
        <f t="shared" si="13"/>
        <v/>
      </c>
      <c r="L306" t="str">
        <f t="shared" si="14"/>
        <v/>
      </c>
    </row>
    <row r="307" spans="1:12" hidden="1" x14ac:dyDescent="0.2">
      <c r="A307" s="17" t="s">
        <v>161</v>
      </c>
      <c r="B307" s="17" t="s">
        <v>65</v>
      </c>
      <c r="C307" s="16">
        <v>42857.476481481484</v>
      </c>
      <c r="D307" s="17" t="s">
        <v>5</v>
      </c>
      <c r="E307" s="17" t="s">
        <v>36</v>
      </c>
      <c r="F307" s="16">
        <v>42857.477372685185</v>
      </c>
      <c r="G307" s="16"/>
      <c r="H307" s="16"/>
      <c r="I307" s="11">
        <v>391</v>
      </c>
      <c r="J307" s="54" t="str">
        <f t="shared" si="12"/>
        <v/>
      </c>
      <c r="K307" t="str">
        <f t="shared" si="13"/>
        <v/>
      </c>
      <c r="L307" t="str">
        <f t="shared" si="14"/>
        <v/>
      </c>
    </row>
    <row r="308" spans="1:12" hidden="1" x14ac:dyDescent="0.2">
      <c r="A308" s="17" t="s">
        <v>161</v>
      </c>
      <c r="B308" s="17" t="s">
        <v>65</v>
      </c>
      <c r="C308" s="16">
        <v>42857.476481481484</v>
      </c>
      <c r="D308" s="17" t="s">
        <v>5</v>
      </c>
      <c r="E308" s="17" t="s">
        <v>46</v>
      </c>
      <c r="F308" s="16">
        <v>42857.532500000001</v>
      </c>
      <c r="G308" s="16"/>
      <c r="H308" s="16"/>
      <c r="I308" s="11">
        <v>392</v>
      </c>
      <c r="J308" s="54" t="str">
        <f t="shared" si="12"/>
        <v/>
      </c>
      <c r="K308" t="str">
        <f t="shared" si="13"/>
        <v>FAS.T2.ETOOLS</v>
      </c>
      <c r="L308" t="str">
        <f t="shared" si="14"/>
        <v/>
      </c>
    </row>
    <row r="309" spans="1:12" hidden="1" x14ac:dyDescent="0.2">
      <c r="A309" s="17" t="s">
        <v>160</v>
      </c>
      <c r="B309" s="17" t="s">
        <v>37</v>
      </c>
      <c r="C309" s="16">
        <v>42857.695486111108</v>
      </c>
      <c r="D309" s="17" t="s">
        <v>5</v>
      </c>
      <c r="E309" s="17" t="s">
        <v>40</v>
      </c>
      <c r="F309" s="16">
        <v>42857.695555555554</v>
      </c>
      <c r="G309" s="16"/>
      <c r="H309" s="16"/>
      <c r="I309" s="11">
        <v>394</v>
      </c>
      <c r="J309" s="54" t="str">
        <f t="shared" si="12"/>
        <v/>
      </c>
      <c r="K309" t="str">
        <f t="shared" si="13"/>
        <v/>
      </c>
      <c r="L309" t="str">
        <f t="shared" si="14"/>
        <v>NO</v>
      </c>
    </row>
    <row r="310" spans="1:12" hidden="1" x14ac:dyDescent="0.2">
      <c r="A310" s="17" t="s">
        <v>160</v>
      </c>
      <c r="B310" s="17" t="s">
        <v>37</v>
      </c>
      <c r="C310" s="16">
        <v>42857.695486111108</v>
      </c>
      <c r="D310" s="17" t="s">
        <v>5</v>
      </c>
      <c r="E310" s="17" t="s">
        <v>46</v>
      </c>
      <c r="F310" s="16">
        <v>42857.696145833332</v>
      </c>
      <c r="G310" s="16"/>
      <c r="H310" s="16"/>
      <c r="I310" s="11">
        <v>395</v>
      </c>
      <c r="J310" s="54">
        <f t="shared" si="12"/>
        <v>42864.588761574072</v>
      </c>
      <c r="K310" t="str">
        <f t="shared" si="13"/>
        <v>FAS.T2.ETOOLS</v>
      </c>
      <c r="L310" t="str">
        <f t="shared" si="14"/>
        <v>NO</v>
      </c>
    </row>
    <row r="311" spans="1:12" hidden="1" x14ac:dyDescent="0.2">
      <c r="A311" s="17" t="s">
        <v>160</v>
      </c>
      <c r="B311" s="17" t="s">
        <v>37</v>
      </c>
      <c r="C311" s="16">
        <v>42857.695486111108</v>
      </c>
      <c r="D311" s="17" t="s">
        <v>5</v>
      </c>
      <c r="E311" s="17" t="s">
        <v>41</v>
      </c>
      <c r="F311" s="16">
        <v>42864.588761574072</v>
      </c>
      <c r="G311" s="16"/>
      <c r="H311" s="16"/>
      <c r="I311" s="11">
        <v>397</v>
      </c>
      <c r="J311" s="54" t="str">
        <f t="shared" si="12"/>
        <v/>
      </c>
      <c r="K311" t="str">
        <f t="shared" si="13"/>
        <v>FAS.T2.ETOOLS</v>
      </c>
      <c r="L311" t="str">
        <f t="shared" si="14"/>
        <v>NO</v>
      </c>
    </row>
    <row r="312" spans="1:12" hidden="1" x14ac:dyDescent="0.2">
      <c r="A312" s="17" t="s">
        <v>159</v>
      </c>
      <c r="B312" s="17" t="s">
        <v>37</v>
      </c>
      <c r="C312" s="16">
        <v>42857.70758101852</v>
      </c>
      <c r="D312" s="17" t="s">
        <v>5</v>
      </c>
      <c r="E312" s="17" t="s">
        <v>40</v>
      </c>
      <c r="F312" s="16">
        <v>42857.707662037035</v>
      </c>
      <c r="G312" s="16"/>
      <c r="H312" s="16"/>
      <c r="I312" s="11">
        <v>399</v>
      </c>
      <c r="J312" s="54" t="str">
        <f t="shared" si="12"/>
        <v/>
      </c>
      <c r="K312" t="str">
        <f t="shared" si="13"/>
        <v/>
      </c>
      <c r="L312" t="str">
        <f t="shared" si="14"/>
        <v/>
      </c>
    </row>
    <row r="313" spans="1:12" hidden="1" x14ac:dyDescent="0.2">
      <c r="A313" s="17" t="s">
        <v>159</v>
      </c>
      <c r="B313" s="17" t="s">
        <v>37</v>
      </c>
      <c r="C313" s="16">
        <v>42857.70758101852</v>
      </c>
      <c r="D313" s="17" t="s">
        <v>5</v>
      </c>
      <c r="E313" s="17" t="s">
        <v>51</v>
      </c>
      <c r="F313" s="16">
        <v>42857.708009259259</v>
      </c>
      <c r="G313" s="16"/>
      <c r="H313" s="16"/>
      <c r="I313" s="11">
        <v>400</v>
      </c>
      <c r="J313" s="54" t="str">
        <f t="shared" si="12"/>
        <v/>
      </c>
      <c r="K313" t="str">
        <f t="shared" si="13"/>
        <v/>
      </c>
      <c r="L313" t="str">
        <f t="shared" si="14"/>
        <v/>
      </c>
    </row>
    <row r="314" spans="1:12" hidden="1" x14ac:dyDescent="0.2">
      <c r="A314" s="17" t="s">
        <v>158</v>
      </c>
      <c r="B314" s="17" t="s">
        <v>37</v>
      </c>
      <c r="C314" s="16">
        <v>42858.430347222224</v>
      </c>
      <c r="D314" s="17" t="s">
        <v>5</v>
      </c>
      <c r="E314" s="17" t="s">
        <v>40</v>
      </c>
      <c r="F314" s="16">
        <v>42858.430347222224</v>
      </c>
      <c r="G314" s="16"/>
      <c r="H314" s="16"/>
      <c r="I314" s="11">
        <v>401</v>
      </c>
      <c r="J314" s="54" t="str">
        <f t="shared" si="12"/>
        <v/>
      </c>
      <c r="K314" t="str">
        <f t="shared" si="13"/>
        <v/>
      </c>
      <c r="L314" t="str">
        <f t="shared" si="14"/>
        <v/>
      </c>
    </row>
    <row r="315" spans="1:12" hidden="1" x14ac:dyDescent="0.2">
      <c r="A315" s="17" t="s">
        <v>158</v>
      </c>
      <c r="B315" s="17" t="s">
        <v>37</v>
      </c>
      <c r="C315" s="16">
        <v>42858.430347222224</v>
      </c>
      <c r="D315" s="17" t="s">
        <v>5</v>
      </c>
      <c r="E315" s="17" t="s">
        <v>36</v>
      </c>
      <c r="F315" s="16">
        <v>42858.434583333335</v>
      </c>
      <c r="G315" s="16"/>
      <c r="H315" s="16"/>
      <c r="I315" s="11">
        <v>402</v>
      </c>
      <c r="J315" s="54" t="str">
        <f t="shared" si="12"/>
        <v/>
      </c>
      <c r="K315" t="str">
        <f t="shared" si="13"/>
        <v/>
      </c>
      <c r="L315" t="str">
        <f t="shared" si="14"/>
        <v/>
      </c>
    </row>
    <row r="316" spans="1:12" hidden="1" x14ac:dyDescent="0.2">
      <c r="A316" s="17" t="s">
        <v>158</v>
      </c>
      <c r="B316" s="17" t="s">
        <v>37</v>
      </c>
      <c r="C316" s="16">
        <v>42858.430347222224</v>
      </c>
      <c r="D316" s="17" t="s">
        <v>5</v>
      </c>
      <c r="E316" s="17" t="s">
        <v>51</v>
      </c>
      <c r="F316" s="16">
        <v>42858.516736111109</v>
      </c>
      <c r="G316" s="16"/>
      <c r="H316" s="16"/>
      <c r="I316" s="11">
        <v>403</v>
      </c>
      <c r="J316" s="54" t="str">
        <f t="shared" si="12"/>
        <v/>
      </c>
      <c r="K316" t="str">
        <f t="shared" si="13"/>
        <v/>
      </c>
      <c r="L316" t="str">
        <f t="shared" si="14"/>
        <v/>
      </c>
    </row>
    <row r="317" spans="1:12" hidden="1" x14ac:dyDescent="0.2">
      <c r="A317" s="17" t="s">
        <v>157</v>
      </c>
      <c r="B317" s="17" t="s">
        <v>37</v>
      </c>
      <c r="C317" s="16">
        <v>42859.630381944444</v>
      </c>
      <c r="D317" s="17" t="s">
        <v>5</v>
      </c>
      <c r="E317" s="17" t="s">
        <v>40</v>
      </c>
      <c r="F317" s="16">
        <v>42859.630393518521</v>
      </c>
      <c r="G317" s="16"/>
      <c r="H317" s="16"/>
      <c r="I317" s="11">
        <v>405</v>
      </c>
      <c r="J317" s="54" t="str">
        <f t="shared" si="12"/>
        <v/>
      </c>
      <c r="K317" t="str">
        <f t="shared" si="13"/>
        <v/>
      </c>
      <c r="L317" t="str">
        <f t="shared" si="14"/>
        <v/>
      </c>
    </row>
    <row r="318" spans="1:12" hidden="1" x14ac:dyDescent="0.2">
      <c r="A318" s="17" t="s">
        <v>157</v>
      </c>
      <c r="B318" s="17" t="s">
        <v>37</v>
      </c>
      <c r="C318" s="16">
        <v>42859.630381944444</v>
      </c>
      <c r="D318" s="17" t="s">
        <v>5</v>
      </c>
      <c r="E318" s="17" t="s">
        <v>36</v>
      </c>
      <c r="F318" s="16">
        <v>42859.631111111114</v>
      </c>
      <c r="G318" s="16"/>
      <c r="H318" s="16"/>
      <c r="I318" s="11">
        <v>406</v>
      </c>
      <c r="J318" s="54" t="str">
        <f t="shared" si="12"/>
        <v/>
      </c>
      <c r="K318" t="str">
        <f t="shared" si="13"/>
        <v/>
      </c>
      <c r="L318" t="str">
        <f t="shared" si="14"/>
        <v/>
      </c>
    </row>
    <row r="319" spans="1:12" hidden="1" x14ac:dyDescent="0.2">
      <c r="A319" s="17" t="s">
        <v>157</v>
      </c>
      <c r="B319" s="17" t="s">
        <v>37</v>
      </c>
      <c r="C319" s="16">
        <v>42859.630381944444</v>
      </c>
      <c r="D319" s="17" t="s">
        <v>5</v>
      </c>
      <c r="E319" s="17" t="s">
        <v>46</v>
      </c>
      <c r="F319" s="16">
        <v>42864.649085648147</v>
      </c>
      <c r="G319" s="16"/>
      <c r="H319" s="16"/>
      <c r="I319" s="11">
        <v>409</v>
      </c>
      <c r="J319" s="54" t="str">
        <f t="shared" si="12"/>
        <v/>
      </c>
      <c r="K319" t="str">
        <f t="shared" si="13"/>
        <v>FAS.T2.ETOOLS</v>
      </c>
      <c r="L319" t="str">
        <f t="shared" si="14"/>
        <v/>
      </c>
    </row>
    <row r="320" spans="1:12" hidden="1" x14ac:dyDescent="0.2">
      <c r="A320" s="17" t="s">
        <v>156</v>
      </c>
      <c r="B320" s="17" t="s">
        <v>37</v>
      </c>
      <c r="C320" s="16">
        <v>42860.66333333333</v>
      </c>
      <c r="D320" s="17" t="s">
        <v>5</v>
      </c>
      <c r="E320" s="17" t="s">
        <v>40</v>
      </c>
      <c r="F320" s="16">
        <v>42860.66333333333</v>
      </c>
      <c r="G320" s="16"/>
      <c r="H320" s="16"/>
      <c r="I320" s="11">
        <v>411</v>
      </c>
      <c r="J320" s="54" t="str">
        <f t="shared" si="12"/>
        <v/>
      </c>
      <c r="K320" t="str">
        <f t="shared" si="13"/>
        <v/>
      </c>
      <c r="L320" t="str">
        <f t="shared" si="14"/>
        <v/>
      </c>
    </row>
    <row r="321" spans="1:12" hidden="1" x14ac:dyDescent="0.2">
      <c r="A321" s="17" t="s">
        <v>156</v>
      </c>
      <c r="B321" s="17" t="s">
        <v>37</v>
      </c>
      <c r="C321" s="16">
        <v>42860.66333333333</v>
      </c>
      <c r="D321" s="17" t="s">
        <v>5</v>
      </c>
      <c r="E321" s="17" t="s">
        <v>36</v>
      </c>
      <c r="F321" s="16">
        <v>42860.667384259257</v>
      </c>
      <c r="G321" s="16"/>
      <c r="H321" s="16"/>
      <c r="I321" s="11">
        <v>412</v>
      </c>
      <c r="J321" s="54" t="str">
        <f t="shared" si="12"/>
        <v/>
      </c>
      <c r="K321" t="str">
        <f t="shared" si="13"/>
        <v/>
      </c>
      <c r="L321" t="str">
        <f t="shared" si="14"/>
        <v/>
      </c>
    </row>
    <row r="322" spans="1:12" hidden="1" x14ac:dyDescent="0.2">
      <c r="A322" s="17" t="s">
        <v>156</v>
      </c>
      <c r="B322" s="17" t="s">
        <v>37</v>
      </c>
      <c r="C322" s="16">
        <v>42860.66333333333</v>
      </c>
      <c r="D322" s="17" t="s">
        <v>5</v>
      </c>
      <c r="E322" s="17" t="s">
        <v>46</v>
      </c>
      <c r="F322" s="16">
        <v>42863.382326388892</v>
      </c>
      <c r="G322" s="16"/>
      <c r="H322" s="16"/>
      <c r="I322" s="11">
        <v>414</v>
      </c>
      <c r="J322" s="54" t="str">
        <f t="shared" ref="J322:J385" si="15">IF(AND(A322=A323,E322="FAS.T2.ETOOLS",E323&lt;&gt;"FAS.T2.ETOOLS"),F323, "")</f>
        <v/>
      </c>
      <c r="K322" t="str">
        <f t="shared" ref="K322:K385" si="16">IF(OR(AND(A322=A321, E322="FAS.T2.ETOOLS"),AND(A322=A321, K321="FAS.T2.ETOOLS")), "FAS.T2.ETOOLS", "")</f>
        <v>FAS.T2.ETOOLS</v>
      </c>
      <c r="L322" t="str">
        <f t="shared" ref="L322:L385" si="17">IF(AND(A322&lt;&gt;A323, E322&lt;&gt;"FAS.T2.ETOOLS", K322="FAS.T2.ETOOLS"), "NO", IF(AND(A322=A323,L323="NO"), "NO", ""))</f>
        <v/>
      </c>
    </row>
    <row r="323" spans="1:12" hidden="1" x14ac:dyDescent="0.2">
      <c r="A323" s="17" t="s">
        <v>154</v>
      </c>
      <c r="B323" s="17" t="s">
        <v>65</v>
      </c>
      <c r="C323" s="16">
        <v>42860.725914351853</v>
      </c>
      <c r="D323" s="17" t="s">
        <v>5</v>
      </c>
      <c r="E323" s="17" t="s">
        <v>40</v>
      </c>
      <c r="F323" s="16">
        <v>42860.725949074076</v>
      </c>
      <c r="G323" s="16"/>
      <c r="H323" s="16"/>
      <c r="I323" s="11">
        <v>416</v>
      </c>
      <c r="J323" s="54" t="str">
        <f t="shared" si="15"/>
        <v/>
      </c>
      <c r="K323" t="str">
        <f t="shared" si="16"/>
        <v/>
      </c>
      <c r="L323" t="str">
        <f t="shared" si="17"/>
        <v/>
      </c>
    </row>
    <row r="324" spans="1:12" hidden="1" x14ac:dyDescent="0.2">
      <c r="A324" s="17" t="s">
        <v>154</v>
      </c>
      <c r="B324" s="17" t="s">
        <v>65</v>
      </c>
      <c r="C324" s="16">
        <v>42860.725914351853</v>
      </c>
      <c r="D324" s="17" t="s">
        <v>5</v>
      </c>
      <c r="E324" s="17" t="s">
        <v>36</v>
      </c>
      <c r="F324" s="16">
        <v>42860.727696759262</v>
      </c>
      <c r="G324" s="16"/>
      <c r="H324" s="16"/>
      <c r="I324" s="11">
        <v>417</v>
      </c>
      <c r="J324" s="54" t="str">
        <f t="shared" si="15"/>
        <v/>
      </c>
      <c r="K324" t="str">
        <f t="shared" si="16"/>
        <v/>
      </c>
      <c r="L324" t="str">
        <f t="shared" si="17"/>
        <v/>
      </c>
    </row>
    <row r="325" spans="1:12" hidden="1" x14ac:dyDescent="0.2">
      <c r="A325" s="17" t="s">
        <v>154</v>
      </c>
      <c r="B325" s="17" t="s">
        <v>65</v>
      </c>
      <c r="C325" s="16">
        <v>42860.725914351853</v>
      </c>
      <c r="D325" s="17" t="s">
        <v>5</v>
      </c>
      <c r="E325" s="17" t="s">
        <v>46</v>
      </c>
      <c r="F325" s="16">
        <v>42864.434641203705</v>
      </c>
      <c r="G325" s="16"/>
      <c r="H325" s="16"/>
      <c r="I325" s="11">
        <v>420</v>
      </c>
      <c r="J325" s="54" t="str">
        <f t="shared" si="15"/>
        <v/>
      </c>
      <c r="K325" t="str">
        <f t="shared" si="16"/>
        <v>FAS.T2.ETOOLS</v>
      </c>
      <c r="L325" t="str">
        <f t="shared" si="17"/>
        <v/>
      </c>
    </row>
    <row r="326" spans="1:12" hidden="1" x14ac:dyDescent="0.2">
      <c r="A326" s="17" t="s">
        <v>152</v>
      </c>
      <c r="B326" s="17" t="s">
        <v>37</v>
      </c>
      <c r="C326" s="16">
        <v>42864.451967592591</v>
      </c>
      <c r="D326" s="17" t="s">
        <v>5</v>
      </c>
      <c r="E326" s="17" t="s">
        <v>40</v>
      </c>
      <c r="F326" s="16">
        <v>42864.452002314814</v>
      </c>
      <c r="G326" s="16"/>
      <c r="H326" s="16"/>
      <c r="I326" s="11">
        <v>422</v>
      </c>
      <c r="J326" s="54" t="str">
        <f t="shared" si="15"/>
        <v/>
      </c>
      <c r="K326" t="str">
        <f t="shared" si="16"/>
        <v/>
      </c>
      <c r="L326" t="str">
        <f t="shared" si="17"/>
        <v>NO</v>
      </c>
    </row>
    <row r="327" spans="1:12" hidden="1" x14ac:dyDescent="0.2">
      <c r="A327" s="17" t="s">
        <v>152</v>
      </c>
      <c r="B327" s="17" t="s">
        <v>37</v>
      </c>
      <c r="C327" s="16">
        <v>42864.451967592591</v>
      </c>
      <c r="D327" s="17" t="s">
        <v>5</v>
      </c>
      <c r="E327" s="17" t="s">
        <v>36</v>
      </c>
      <c r="F327" s="16">
        <v>42864.461886574078</v>
      </c>
      <c r="G327" s="16"/>
      <c r="H327" s="16"/>
      <c r="I327" s="11">
        <v>423</v>
      </c>
      <c r="J327" s="54" t="str">
        <f t="shared" si="15"/>
        <v/>
      </c>
      <c r="K327" t="str">
        <f t="shared" si="16"/>
        <v/>
      </c>
      <c r="L327" t="str">
        <f t="shared" si="17"/>
        <v>NO</v>
      </c>
    </row>
    <row r="328" spans="1:12" hidden="1" x14ac:dyDescent="0.2">
      <c r="A328" s="17" t="s">
        <v>152</v>
      </c>
      <c r="B328" s="17" t="s">
        <v>37</v>
      </c>
      <c r="C328" s="16">
        <v>42864.451967592591</v>
      </c>
      <c r="D328" s="17" t="s">
        <v>5</v>
      </c>
      <c r="E328" s="17" t="s">
        <v>46</v>
      </c>
      <c r="F328" s="16">
        <v>42871.570150462961</v>
      </c>
      <c r="G328" s="16"/>
      <c r="H328" s="16"/>
      <c r="I328" s="11">
        <v>425</v>
      </c>
      <c r="J328" s="54">
        <f t="shared" si="15"/>
        <v>42874.602430555555</v>
      </c>
      <c r="K328" t="str">
        <f t="shared" si="16"/>
        <v>FAS.T2.ETOOLS</v>
      </c>
      <c r="L328" t="str">
        <f t="shared" si="17"/>
        <v>NO</v>
      </c>
    </row>
    <row r="329" spans="1:12" hidden="1" x14ac:dyDescent="0.2">
      <c r="A329" s="17" t="s">
        <v>152</v>
      </c>
      <c r="B329" s="17" t="s">
        <v>37</v>
      </c>
      <c r="C329" s="16">
        <v>42864.451967592591</v>
      </c>
      <c r="D329" s="17" t="s">
        <v>5</v>
      </c>
      <c r="E329" s="17" t="s">
        <v>153</v>
      </c>
      <c r="F329" s="16">
        <v>42874.602430555555</v>
      </c>
      <c r="G329" s="16"/>
      <c r="H329" s="16"/>
      <c r="I329" s="11">
        <v>427</v>
      </c>
      <c r="J329" s="54" t="str">
        <f t="shared" si="15"/>
        <v/>
      </c>
      <c r="K329" t="str">
        <f t="shared" si="16"/>
        <v>FAS.T2.ETOOLS</v>
      </c>
      <c r="L329" t="str">
        <f t="shared" si="17"/>
        <v>NO</v>
      </c>
    </row>
    <row r="330" spans="1:12" hidden="1" x14ac:dyDescent="0.2">
      <c r="A330" s="17" t="s">
        <v>150</v>
      </c>
      <c r="B330" s="17" t="s">
        <v>37</v>
      </c>
      <c r="C330" s="16">
        <v>42866.630115740743</v>
      </c>
      <c r="D330" s="17" t="s">
        <v>5</v>
      </c>
      <c r="E330" s="17" t="s">
        <v>40</v>
      </c>
      <c r="F330" s="16">
        <v>42866.630162037036</v>
      </c>
      <c r="G330" s="16">
        <v>42877.485937500001</v>
      </c>
      <c r="H330" s="16"/>
      <c r="I330" s="11">
        <v>429</v>
      </c>
      <c r="J330" s="54" t="str">
        <f t="shared" si="15"/>
        <v/>
      </c>
      <c r="K330" t="str">
        <f t="shared" si="16"/>
        <v/>
      </c>
      <c r="L330" t="str">
        <f t="shared" si="17"/>
        <v/>
      </c>
    </row>
    <row r="331" spans="1:12" hidden="1" x14ac:dyDescent="0.2">
      <c r="A331" s="17" t="s">
        <v>150</v>
      </c>
      <c r="B331" s="17" t="s">
        <v>37</v>
      </c>
      <c r="C331" s="16">
        <v>42866.630115740743</v>
      </c>
      <c r="D331" s="17" t="s">
        <v>5</v>
      </c>
      <c r="E331" s="17" t="s">
        <v>36</v>
      </c>
      <c r="F331" s="16">
        <v>42866.63208333333</v>
      </c>
      <c r="G331" s="16">
        <v>42877.485937500001</v>
      </c>
      <c r="H331" s="16"/>
      <c r="I331" s="11">
        <v>430</v>
      </c>
      <c r="J331" s="54" t="str">
        <f t="shared" si="15"/>
        <v/>
      </c>
      <c r="K331" t="str">
        <f t="shared" si="16"/>
        <v/>
      </c>
      <c r="L331" t="str">
        <f t="shared" si="17"/>
        <v/>
      </c>
    </row>
    <row r="332" spans="1:12" hidden="1" x14ac:dyDescent="0.2">
      <c r="A332" s="17" t="s">
        <v>150</v>
      </c>
      <c r="B332" s="17" t="s">
        <v>37</v>
      </c>
      <c r="C332" s="16">
        <v>42866.630115740743</v>
      </c>
      <c r="D332" s="17" t="s">
        <v>5</v>
      </c>
      <c r="E332" s="17" t="s">
        <v>41</v>
      </c>
      <c r="F332" s="16">
        <v>42867.428912037038</v>
      </c>
      <c r="G332" s="16">
        <v>42877.485937500001</v>
      </c>
      <c r="H332" s="16"/>
      <c r="I332" s="11">
        <v>432</v>
      </c>
      <c r="J332" s="54" t="str">
        <f t="shared" si="15"/>
        <v/>
      </c>
      <c r="K332" t="str">
        <f t="shared" si="16"/>
        <v/>
      </c>
      <c r="L332" t="str">
        <f t="shared" si="17"/>
        <v/>
      </c>
    </row>
    <row r="333" spans="1:12" hidden="1" x14ac:dyDescent="0.2">
      <c r="A333" s="17" t="s">
        <v>149</v>
      </c>
      <c r="B333" s="17" t="s">
        <v>37</v>
      </c>
      <c r="C333" s="16">
        <v>42870.439849537041</v>
      </c>
      <c r="D333" s="17" t="s">
        <v>5</v>
      </c>
      <c r="E333" s="17" t="s">
        <v>40</v>
      </c>
      <c r="F333" s="16">
        <v>42870.439884259256</v>
      </c>
      <c r="G333" s="16"/>
      <c r="H333" s="16"/>
      <c r="I333" s="11">
        <v>434</v>
      </c>
      <c r="J333" s="54" t="str">
        <f t="shared" si="15"/>
        <v/>
      </c>
      <c r="K333" t="str">
        <f t="shared" si="16"/>
        <v/>
      </c>
      <c r="L333" t="str">
        <f t="shared" si="17"/>
        <v/>
      </c>
    </row>
    <row r="334" spans="1:12" hidden="1" x14ac:dyDescent="0.2">
      <c r="A334" s="17" t="s">
        <v>149</v>
      </c>
      <c r="B334" s="17" t="s">
        <v>37</v>
      </c>
      <c r="C334" s="16">
        <v>42870.439849537041</v>
      </c>
      <c r="D334" s="17" t="s">
        <v>5</v>
      </c>
      <c r="E334" s="17" t="s">
        <v>41</v>
      </c>
      <c r="F334" s="16">
        <v>42870.44054398148</v>
      </c>
      <c r="G334" s="16"/>
      <c r="H334" s="16"/>
      <c r="I334" s="11">
        <v>435</v>
      </c>
      <c r="J334" s="54" t="str">
        <f t="shared" si="15"/>
        <v/>
      </c>
      <c r="K334" t="str">
        <f t="shared" si="16"/>
        <v/>
      </c>
      <c r="L334" t="str">
        <f t="shared" si="17"/>
        <v/>
      </c>
    </row>
    <row r="335" spans="1:12" hidden="1" x14ac:dyDescent="0.2">
      <c r="A335" s="17" t="s">
        <v>148</v>
      </c>
      <c r="B335" s="17" t="s">
        <v>37</v>
      </c>
      <c r="C335" s="16">
        <v>42870.559537037036</v>
      </c>
      <c r="D335" s="17" t="s">
        <v>5</v>
      </c>
      <c r="E335" s="17" t="s">
        <v>40</v>
      </c>
      <c r="F335" s="16">
        <v>42870.559571759259</v>
      </c>
      <c r="G335" s="16"/>
      <c r="H335" s="16"/>
      <c r="I335" s="11">
        <v>437</v>
      </c>
      <c r="J335" s="54" t="str">
        <f t="shared" si="15"/>
        <v/>
      </c>
      <c r="K335" t="str">
        <f t="shared" si="16"/>
        <v/>
      </c>
      <c r="L335" t="str">
        <f t="shared" si="17"/>
        <v/>
      </c>
    </row>
    <row r="336" spans="1:12" hidden="1" x14ac:dyDescent="0.2">
      <c r="A336" s="17" t="s">
        <v>148</v>
      </c>
      <c r="B336" s="17" t="s">
        <v>37</v>
      </c>
      <c r="C336" s="16">
        <v>42870.559537037036</v>
      </c>
      <c r="D336" s="17" t="s">
        <v>5</v>
      </c>
      <c r="E336" s="17" t="s">
        <v>51</v>
      </c>
      <c r="F336" s="16">
        <v>42870.561400462961</v>
      </c>
      <c r="G336" s="16"/>
      <c r="H336" s="16"/>
      <c r="I336" s="11">
        <v>438</v>
      </c>
      <c r="J336" s="54" t="str">
        <f t="shared" si="15"/>
        <v/>
      </c>
      <c r="K336" t="str">
        <f t="shared" si="16"/>
        <v/>
      </c>
      <c r="L336" t="str">
        <f t="shared" si="17"/>
        <v/>
      </c>
    </row>
    <row r="337" spans="1:12" hidden="1" x14ac:dyDescent="0.2">
      <c r="A337" s="17" t="s">
        <v>146</v>
      </c>
      <c r="B337" s="17" t="s">
        <v>37</v>
      </c>
      <c r="C337" s="16">
        <v>42870.653738425928</v>
      </c>
      <c r="D337" s="17" t="s">
        <v>5</v>
      </c>
      <c r="E337" s="17" t="s">
        <v>40</v>
      </c>
      <c r="F337" s="16">
        <v>42870.653761574074</v>
      </c>
      <c r="G337" s="16"/>
      <c r="H337" s="16"/>
      <c r="I337" s="11">
        <v>440</v>
      </c>
      <c r="J337" s="54" t="str">
        <f t="shared" si="15"/>
        <v/>
      </c>
      <c r="K337" t="str">
        <f t="shared" si="16"/>
        <v/>
      </c>
      <c r="L337" t="str">
        <f t="shared" si="17"/>
        <v/>
      </c>
    </row>
    <row r="338" spans="1:12" hidden="1" x14ac:dyDescent="0.2">
      <c r="A338" s="17" t="s">
        <v>146</v>
      </c>
      <c r="B338" s="17" t="s">
        <v>37</v>
      </c>
      <c r="C338" s="16">
        <v>42870.653738425928</v>
      </c>
      <c r="D338" s="17" t="s">
        <v>5</v>
      </c>
      <c r="E338" s="17" t="s">
        <v>46</v>
      </c>
      <c r="F338" s="16">
        <v>42870.656076388892</v>
      </c>
      <c r="G338" s="16"/>
      <c r="H338" s="16"/>
      <c r="I338" s="11">
        <v>441</v>
      </c>
      <c r="J338" s="54" t="str">
        <f t="shared" si="15"/>
        <v/>
      </c>
      <c r="K338" t="str">
        <f t="shared" si="16"/>
        <v>FAS.T2.ETOOLS</v>
      </c>
      <c r="L338" t="str">
        <f t="shared" si="17"/>
        <v/>
      </c>
    </row>
    <row r="339" spans="1:12" hidden="1" x14ac:dyDescent="0.2">
      <c r="A339" s="17" t="s">
        <v>145</v>
      </c>
      <c r="B339" s="17" t="s">
        <v>37</v>
      </c>
      <c r="C339" s="16">
        <v>42870.669236111113</v>
      </c>
      <c r="D339" s="17" t="s">
        <v>5</v>
      </c>
      <c r="E339" s="17" t="s">
        <v>40</v>
      </c>
      <c r="F339" s="16">
        <v>42870.669305555559</v>
      </c>
      <c r="G339" s="16">
        <v>42870.833993055552</v>
      </c>
      <c r="H339" s="16"/>
      <c r="I339" s="11">
        <v>444</v>
      </c>
      <c r="J339" s="54" t="str">
        <f t="shared" si="15"/>
        <v/>
      </c>
      <c r="K339" t="str">
        <f t="shared" si="16"/>
        <v/>
      </c>
      <c r="L339" t="str">
        <f t="shared" si="17"/>
        <v/>
      </c>
    </row>
    <row r="340" spans="1:12" hidden="1" x14ac:dyDescent="0.2">
      <c r="A340" s="17" t="s">
        <v>145</v>
      </c>
      <c r="B340" s="17" t="s">
        <v>37</v>
      </c>
      <c r="C340" s="16">
        <v>42870.669236111113</v>
      </c>
      <c r="D340" s="17" t="s">
        <v>5</v>
      </c>
      <c r="E340" s="17" t="s">
        <v>36</v>
      </c>
      <c r="F340" s="16">
        <v>42870.670115740744</v>
      </c>
      <c r="G340" s="16">
        <v>42870.833993055552</v>
      </c>
      <c r="H340" s="16"/>
      <c r="I340" s="11">
        <v>445</v>
      </c>
      <c r="J340" s="54" t="str">
        <f t="shared" si="15"/>
        <v/>
      </c>
      <c r="K340" t="str">
        <f t="shared" si="16"/>
        <v/>
      </c>
      <c r="L340" t="str">
        <f t="shared" si="17"/>
        <v/>
      </c>
    </row>
    <row r="341" spans="1:12" hidden="1" x14ac:dyDescent="0.2">
      <c r="A341" s="17" t="s">
        <v>145</v>
      </c>
      <c r="B341" s="17" t="s">
        <v>37</v>
      </c>
      <c r="C341" s="16">
        <v>42870.669236111113</v>
      </c>
      <c r="D341" s="17" t="s">
        <v>5</v>
      </c>
      <c r="E341" s="17" t="s">
        <v>46</v>
      </c>
      <c r="F341" s="16">
        <v>42870.687303240738</v>
      </c>
      <c r="G341" s="16">
        <v>42870.833993055552</v>
      </c>
      <c r="H341" s="16"/>
      <c r="I341" s="11">
        <v>447</v>
      </c>
      <c r="J341" s="54" t="str">
        <f t="shared" si="15"/>
        <v/>
      </c>
      <c r="K341" t="str">
        <f t="shared" si="16"/>
        <v>FAS.T2.ETOOLS</v>
      </c>
      <c r="L341" t="str">
        <f t="shared" si="17"/>
        <v/>
      </c>
    </row>
    <row r="342" spans="1:12" hidden="1" x14ac:dyDescent="0.2">
      <c r="A342" s="17" t="s">
        <v>144</v>
      </c>
      <c r="B342" s="17" t="s">
        <v>65</v>
      </c>
      <c r="C342" s="16">
        <v>42870.730717592596</v>
      </c>
      <c r="D342" s="17" t="s">
        <v>5</v>
      </c>
      <c r="E342" s="17" t="s">
        <v>40</v>
      </c>
      <c r="F342" s="16">
        <v>42870.730740740742</v>
      </c>
      <c r="G342" s="16"/>
      <c r="H342" s="16"/>
      <c r="I342" s="11">
        <v>449</v>
      </c>
      <c r="J342" s="54" t="str">
        <f t="shared" si="15"/>
        <v/>
      </c>
      <c r="K342" t="str">
        <f t="shared" si="16"/>
        <v/>
      </c>
      <c r="L342" t="str">
        <f t="shared" si="17"/>
        <v/>
      </c>
    </row>
    <row r="343" spans="1:12" hidden="1" x14ac:dyDescent="0.2">
      <c r="A343" s="17" t="s">
        <v>144</v>
      </c>
      <c r="B343" s="17" t="s">
        <v>65</v>
      </c>
      <c r="C343" s="16">
        <v>42870.730717592596</v>
      </c>
      <c r="D343" s="17" t="s">
        <v>5</v>
      </c>
      <c r="E343" s="17" t="s">
        <v>36</v>
      </c>
      <c r="F343" s="16">
        <v>42870.733993055554</v>
      </c>
      <c r="G343" s="16"/>
      <c r="H343" s="16"/>
      <c r="I343" s="11">
        <v>450</v>
      </c>
      <c r="J343" s="54" t="str">
        <f t="shared" si="15"/>
        <v/>
      </c>
      <c r="K343" t="str">
        <f t="shared" si="16"/>
        <v/>
      </c>
      <c r="L343" t="str">
        <f t="shared" si="17"/>
        <v/>
      </c>
    </row>
    <row r="344" spans="1:12" hidden="1" x14ac:dyDescent="0.2">
      <c r="A344" s="17" t="s">
        <v>144</v>
      </c>
      <c r="B344" s="17" t="s">
        <v>65</v>
      </c>
      <c r="C344" s="16">
        <v>42870.730717592596</v>
      </c>
      <c r="D344" s="17" t="s">
        <v>5</v>
      </c>
      <c r="E344" s="17" t="s">
        <v>41</v>
      </c>
      <c r="F344" s="16">
        <v>42871.442789351851</v>
      </c>
      <c r="G344" s="16"/>
      <c r="H344" s="16"/>
      <c r="I344" s="11">
        <v>452</v>
      </c>
      <c r="J344" s="54" t="str">
        <f t="shared" si="15"/>
        <v/>
      </c>
      <c r="K344" t="str">
        <f t="shared" si="16"/>
        <v/>
      </c>
      <c r="L344" t="str">
        <f t="shared" si="17"/>
        <v/>
      </c>
    </row>
    <row r="345" spans="1:12" hidden="1" x14ac:dyDescent="0.2">
      <c r="A345" s="17" t="s">
        <v>143</v>
      </c>
      <c r="B345" s="17" t="s">
        <v>37</v>
      </c>
      <c r="C345" s="16">
        <v>42872.571157407408</v>
      </c>
      <c r="D345" s="17" t="s">
        <v>5</v>
      </c>
      <c r="E345" s="17" t="s">
        <v>40</v>
      </c>
      <c r="F345" s="16">
        <v>42872.571192129632</v>
      </c>
      <c r="G345" s="16">
        <v>42888.505289351851</v>
      </c>
      <c r="H345" s="16"/>
      <c r="I345" s="11">
        <v>454</v>
      </c>
      <c r="J345" s="54" t="str">
        <f t="shared" si="15"/>
        <v/>
      </c>
      <c r="K345" t="str">
        <f t="shared" si="16"/>
        <v/>
      </c>
      <c r="L345" t="str">
        <f t="shared" si="17"/>
        <v/>
      </c>
    </row>
    <row r="346" spans="1:12" hidden="1" x14ac:dyDescent="0.2">
      <c r="A346" s="17" t="s">
        <v>143</v>
      </c>
      <c r="B346" s="17" t="s">
        <v>37</v>
      </c>
      <c r="C346" s="16">
        <v>42872.571157407408</v>
      </c>
      <c r="D346" s="17" t="s">
        <v>5</v>
      </c>
      <c r="E346" s="17" t="s">
        <v>36</v>
      </c>
      <c r="F346" s="16">
        <v>42872.575555555559</v>
      </c>
      <c r="G346" s="16">
        <v>42888.505289351851</v>
      </c>
      <c r="H346" s="16"/>
      <c r="I346" s="11">
        <v>455</v>
      </c>
      <c r="J346" s="54" t="str">
        <f t="shared" si="15"/>
        <v/>
      </c>
      <c r="K346" t="str">
        <f t="shared" si="16"/>
        <v/>
      </c>
      <c r="L346" t="str">
        <f t="shared" si="17"/>
        <v/>
      </c>
    </row>
    <row r="347" spans="1:12" hidden="1" x14ac:dyDescent="0.2">
      <c r="A347" s="17" t="s">
        <v>143</v>
      </c>
      <c r="B347" s="17" t="s">
        <v>37</v>
      </c>
      <c r="C347" s="16">
        <v>42872.571157407408</v>
      </c>
      <c r="D347" s="17" t="s">
        <v>5</v>
      </c>
      <c r="E347" s="17" t="s">
        <v>41</v>
      </c>
      <c r="F347" s="16">
        <v>42880.476574074077</v>
      </c>
      <c r="G347" s="16">
        <v>42888.505289351851</v>
      </c>
      <c r="H347" s="16"/>
      <c r="I347" s="11">
        <v>457</v>
      </c>
      <c r="J347" s="54" t="str">
        <f t="shared" si="15"/>
        <v/>
      </c>
      <c r="K347" t="str">
        <f t="shared" si="16"/>
        <v/>
      </c>
      <c r="L347" t="str">
        <f t="shared" si="17"/>
        <v/>
      </c>
    </row>
    <row r="348" spans="1:12" hidden="1" x14ac:dyDescent="0.2">
      <c r="A348" s="17" t="s">
        <v>142</v>
      </c>
      <c r="B348" s="17" t="s">
        <v>65</v>
      </c>
      <c r="C348" s="16">
        <v>42872.663229166668</v>
      </c>
      <c r="D348" s="17" t="s">
        <v>5</v>
      </c>
      <c r="E348" s="17" t="s">
        <v>40</v>
      </c>
      <c r="F348" s="16">
        <v>42872.663252314815</v>
      </c>
      <c r="G348" s="16"/>
      <c r="H348" s="16"/>
      <c r="I348" s="11">
        <v>459</v>
      </c>
      <c r="J348" s="54" t="str">
        <f t="shared" si="15"/>
        <v/>
      </c>
      <c r="K348" t="str">
        <f t="shared" si="16"/>
        <v/>
      </c>
      <c r="L348" t="str">
        <f t="shared" si="17"/>
        <v/>
      </c>
    </row>
    <row r="349" spans="1:12" hidden="1" x14ac:dyDescent="0.2">
      <c r="A349" s="17" t="s">
        <v>142</v>
      </c>
      <c r="B349" s="17" t="s">
        <v>65</v>
      </c>
      <c r="C349" s="16">
        <v>42872.663229166668</v>
      </c>
      <c r="D349" s="17" t="s">
        <v>5</v>
      </c>
      <c r="E349" s="17" t="s">
        <v>36</v>
      </c>
      <c r="F349" s="16">
        <v>42872.664074074077</v>
      </c>
      <c r="G349" s="16"/>
      <c r="H349" s="16"/>
      <c r="I349" s="11">
        <v>460</v>
      </c>
      <c r="J349" s="54" t="str">
        <f t="shared" si="15"/>
        <v/>
      </c>
      <c r="K349" t="str">
        <f t="shared" si="16"/>
        <v/>
      </c>
      <c r="L349" t="str">
        <f t="shared" si="17"/>
        <v/>
      </c>
    </row>
    <row r="350" spans="1:12" hidden="1" x14ac:dyDescent="0.2">
      <c r="A350" s="17" t="s">
        <v>142</v>
      </c>
      <c r="B350" s="17" t="s">
        <v>65</v>
      </c>
      <c r="C350" s="16">
        <v>42872.663229166668</v>
      </c>
      <c r="D350" s="17" t="s">
        <v>5</v>
      </c>
      <c r="E350" s="17" t="s">
        <v>41</v>
      </c>
      <c r="F350" s="16">
        <v>42872.765405092592</v>
      </c>
      <c r="G350" s="16"/>
      <c r="H350" s="16"/>
      <c r="I350" s="11">
        <v>461</v>
      </c>
      <c r="J350" s="54" t="str">
        <f t="shared" si="15"/>
        <v/>
      </c>
      <c r="K350" t="str">
        <f t="shared" si="16"/>
        <v/>
      </c>
      <c r="L350" t="str">
        <f t="shared" si="17"/>
        <v/>
      </c>
    </row>
    <row r="351" spans="1:12" hidden="1" x14ac:dyDescent="0.2">
      <c r="A351" s="17" t="s">
        <v>142</v>
      </c>
      <c r="B351" s="17" t="s">
        <v>65</v>
      </c>
      <c r="C351" s="16">
        <v>42872.663229166668</v>
      </c>
      <c r="D351" s="17" t="s">
        <v>5</v>
      </c>
      <c r="E351" s="17" t="s">
        <v>46</v>
      </c>
      <c r="F351" s="16">
        <v>42873.613275462965</v>
      </c>
      <c r="G351" s="16"/>
      <c r="H351" s="16"/>
      <c r="I351" s="11">
        <v>462</v>
      </c>
      <c r="J351" s="54" t="str">
        <f t="shared" si="15"/>
        <v/>
      </c>
      <c r="K351" t="str">
        <f t="shared" si="16"/>
        <v>FAS.T2.ETOOLS</v>
      </c>
      <c r="L351" t="str">
        <f t="shared" si="17"/>
        <v/>
      </c>
    </row>
    <row r="352" spans="1:12" hidden="1" x14ac:dyDescent="0.2">
      <c r="A352" s="17" t="s">
        <v>141</v>
      </c>
      <c r="B352" s="17" t="s">
        <v>37</v>
      </c>
      <c r="C352" s="16">
        <v>42873.477858796294</v>
      </c>
      <c r="D352" s="17" t="s">
        <v>5</v>
      </c>
      <c r="E352" s="17" t="s">
        <v>40</v>
      </c>
      <c r="F352" s="16">
        <v>42873.477893518517</v>
      </c>
      <c r="G352" s="16"/>
      <c r="H352" s="16"/>
      <c r="I352" s="11">
        <v>466</v>
      </c>
      <c r="J352" s="54" t="str">
        <f t="shared" si="15"/>
        <v/>
      </c>
      <c r="K352" t="str">
        <f t="shared" si="16"/>
        <v/>
      </c>
      <c r="L352" t="str">
        <f t="shared" si="17"/>
        <v/>
      </c>
    </row>
    <row r="353" spans="1:12" hidden="1" x14ac:dyDescent="0.2">
      <c r="A353" s="17" t="s">
        <v>141</v>
      </c>
      <c r="B353" s="17" t="s">
        <v>37</v>
      </c>
      <c r="C353" s="16">
        <v>42873.477858796294</v>
      </c>
      <c r="D353" s="17" t="s">
        <v>5</v>
      </c>
      <c r="E353" s="17" t="s">
        <v>46</v>
      </c>
      <c r="F353" s="16">
        <v>42873.48133101852</v>
      </c>
      <c r="G353" s="16"/>
      <c r="H353" s="16"/>
      <c r="I353" s="11">
        <v>467</v>
      </c>
      <c r="J353" s="54" t="str">
        <f t="shared" si="15"/>
        <v/>
      </c>
      <c r="K353" t="str">
        <f t="shared" si="16"/>
        <v>FAS.T2.ETOOLS</v>
      </c>
      <c r="L353" t="str">
        <f t="shared" si="17"/>
        <v/>
      </c>
    </row>
    <row r="354" spans="1:12" hidden="1" x14ac:dyDescent="0.2">
      <c r="A354" s="17" t="s">
        <v>140</v>
      </c>
      <c r="B354" s="17" t="s">
        <v>65</v>
      </c>
      <c r="C354" s="16">
        <v>42874.419074074074</v>
      </c>
      <c r="D354" s="17" t="s">
        <v>5</v>
      </c>
      <c r="E354" s="17" t="s">
        <v>40</v>
      </c>
      <c r="F354" s="16">
        <v>42874.419108796297</v>
      </c>
      <c r="G354" s="16"/>
      <c r="H354" s="16"/>
      <c r="I354" s="11">
        <v>469</v>
      </c>
      <c r="J354" s="54" t="str">
        <f t="shared" si="15"/>
        <v/>
      </c>
      <c r="K354" t="str">
        <f t="shared" si="16"/>
        <v/>
      </c>
      <c r="L354" t="str">
        <f t="shared" si="17"/>
        <v>NO</v>
      </c>
    </row>
    <row r="355" spans="1:12" hidden="1" x14ac:dyDescent="0.2">
      <c r="A355" s="17" t="s">
        <v>140</v>
      </c>
      <c r="B355" s="17" t="s">
        <v>65</v>
      </c>
      <c r="C355" s="16">
        <v>42874.419074074074</v>
      </c>
      <c r="D355" s="17" t="s">
        <v>5</v>
      </c>
      <c r="E355" s="17" t="s">
        <v>36</v>
      </c>
      <c r="F355" s="16">
        <v>42874.420925925922</v>
      </c>
      <c r="G355" s="16"/>
      <c r="H355" s="16"/>
      <c r="I355" s="11">
        <v>470</v>
      </c>
      <c r="J355" s="54" t="str">
        <f t="shared" si="15"/>
        <v/>
      </c>
      <c r="K355" t="str">
        <f t="shared" si="16"/>
        <v/>
      </c>
      <c r="L355" t="str">
        <f t="shared" si="17"/>
        <v>NO</v>
      </c>
    </row>
    <row r="356" spans="1:12" x14ac:dyDescent="0.2">
      <c r="A356" s="17" t="s">
        <v>140</v>
      </c>
      <c r="B356" s="17" t="s">
        <v>65</v>
      </c>
      <c r="C356" s="16">
        <v>42874.419074074074</v>
      </c>
      <c r="D356" s="17" t="s">
        <v>5</v>
      </c>
      <c r="E356" s="17" t="s">
        <v>46</v>
      </c>
      <c r="F356" s="16">
        <v>42874.43240740741</v>
      </c>
      <c r="G356" s="16"/>
      <c r="H356" s="16"/>
      <c r="I356" s="11">
        <v>471</v>
      </c>
      <c r="J356" s="54">
        <f t="shared" si="15"/>
        <v>42887.692118055558</v>
      </c>
      <c r="K356" t="str">
        <f t="shared" si="16"/>
        <v>FAS.T2.ETOOLS</v>
      </c>
      <c r="L356" t="str">
        <f t="shared" si="17"/>
        <v>NO</v>
      </c>
    </row>
    <row r="357" spans="1:12" hidden="1" x14ac:dyDescent="0.2">
      <c r="A357" s="17" t="s">
        <v>140</v>
      </c>
      <c r="B357" s="17" t="s">
        <v>65</v>
      </c>
      <c r="C357" s="16">
        <v>42874.419074074074</v>
      </c>
      <c r="D357" s="17" t="s">
        <v>5</v>
      </c>
      <c r="E357" s="17" t="s">
        <v>41</v>
      </c>
      <c r="F357" s="16">
        <v>42887.692118055558</v>
      </c>
      <c r="G357" s="16"/>
      <c r="H357" s="16"/>
      <c r="I357" s="11">
        <v>473</v>
      </c>
      <c r="J357" s="54" t="str">
        <f t="shared" si="15"/>
        <v/>
      </c>
      <c r="K357" t="str">
        <f t="shared" si="16"/>
        <v>FAS.T2.ETOOLS</v>
      </c>
      <c r="L357" t="str">
        <f t="shared" si="17"/>
        <v>NO</v>
      </c>
    </row>
    <row r="358" spans="1:12" hidden="1" x14ac:dyDescent="0.2">
      <c r="A358" s="17" t="s">
        <v>139</v>
      </c>
      <c r="B358" s="17" t="s">
        <v>37</v>
      </c>
      <c r="C358" s="16">
        <v>42877.627627314818</v>
      </c>
      <c r="D358" s="17" t="s">
        <v>5</v>
      </c>
      <c r="E358" s="17" t="s">
        <v>40</v>
      </c>
      <c r="F358" s="16">
        <v>42877.627754629626</v>
      </c>
      <c r="G358" s="16"/>
      <c r="H358" s="16"/>
      <c r="I358" s="11">
        <v>475</v>
      </c>
      <c r="J358" s="54" t="str">
        <f t="shared" si="15"/>
        <v/>
      </c>
      <c r="K358" t="str">
        <f t="shared" si="16"/>
        <v/>
      </c>
      <c r="L358" t="str">
        <f t="shared" si="17"/>
        <v/>
      </c>
    </row>
    <row r="359" spans="1:12" hidden="1" x14ac:dyDescent="0.2">
      <c r="A359" s="17" t="s">
        <v>139</v>
      </c>
      <c r="B359" s="17" t="s">
        <v>37</v>
      </c>
      <c r="C359" s="16">
        <v>42877.627627314818</v>
      </c>
      <c r="D359" s="17" t="s">
        <v>5</v>
      </c>
      <c r="E359" s="17" t="s">
        <v>46</v>
      </c>
      <c r="F359" s="16">
        <v>42877.628923611112</v>
      </c>
      <c r="G359" s="16"/>
      <c r="H359" s="16"/>
      <c r="I359" s="11">
        <v>476</v>
      </c>
      <c r="J359" s="54" t="str">
        <f t="shared" si="15"/>
        <v/>
      </c>
      <c r="K359" t="str">
        <f t="shared" si="16"/>
        <v>FAS.T2.ETOOLS</v>
      </c>
      <c r="L359" t="str">
        <f t="shared" si="17"/>
        <v/>
      </c>
    </row>
    <row r="360" spans="1:12" hidden="1" x14ac:dyDescent="0.2">
      <c r="A360" s="17" t="s">
        <v>138</v>
      </c>
      <c r="B360" s="17" t="s">
        <v>37</v>
      </c>
      <c r="C360" s="16">
        <v>42878.372916666667</v>
      </c>
      <c r="D360" s="17" t="s">
        <v>5</v>
      </c>
      <c r="E360" s="17" t="s">
        <v>40</v>
      </c>
      <c r="F360" s="16">
        <v>42878.372997685183</v>
      </c>
      <c r="G360" s="16"/>
      <c r="H360" s="16"/>
      <c r="I360" s="11">
        <v>480</v>
      </c>
      <c r="J360" s="54" t="str">
        <f t="shared" si="15"/>
        <v/>
      </c>
      <c r="K360" t="str">
        <f t="shared" si="16"/>
        <v/>
      </c>
      <c r="L360" t="str">
        <f t="shared" si="17"/>
        <v/>
      </c>
    </row>
    <row r="361" spans="1:12" hidden="1" x14ac:dyDescent="0.2">
      <c r="A361" s="17" t="s">
        <v>138</v>
      </c>
      <c r="B361" s="17" t="s">
        <v>37</v>
      </c>
      <c r="C361" s="16">
        <v>42878.372916666667</v>
      </c>
      <c r="D361" s="17" t="s">
        <v>5</v>
      </c>
      <c r="E361" s="17" t="s">
        <v>41</v>
      </c>
      <c r="F361" s="16">
        <v>42878.373819444445</v>
      </c>
      <c r="G361" s="16"/>
      <c r="H361" s="16"/>
      <c r="I361" s="11">
        <v>481</v>
      </c>
      <c r="J361" s="54" t="str">
        <f t="shared" si="15"/>
        <v/>
      </c>
      <c r="K361" t="str">
        <f t="shared" si="16"/>
        <v/>
      </c>
      <c r="L361" t="str">
        <f t="shared" si="17"/>
        <v/>
      </c>
    </row>
    <row r="362" spans="1:12" hidden="1" x14ac:dyDescent="0.2">
      <c r="A362" s="17" t="s">
        <v>137</v>
      </c>
      <c r="B362" s="17" t="s">
        <v>37</v>
      </c>
      <c r="C362" s="16">
        <v>42878.412465277775</v>
      </c>
      <c r="D362" s="17" t="s">
        <v>5</v>
      </c>
      <c r="E362" s="17" t="s">
        <v>40</v>
      </c>
      <c r="F362" s="16">
        <v>42878.412546296298</v>
      </c>
      <c r="G362" s="16"/>
      <c r="H362" s="16"/>
      <c r="I362" s="11">
        <v>483</v>
      </c>
      <c r="J362" s="54" t="str">
        <f t="shared" si="15"/>
        <v/>
      </c>
      <c r="K362" t="str">
        <f t="shared" si="16"/>
        <v/>
      </c>
      <c r="L362" t="str">
        <f t="shared" si="17"/>
        <v/>
      </c>
    </row>
    <row r="363" spans="1:12" hidden="1" x14ac:dyDescent="0.2">
      <c r="A363" s="17" t="s">
        <v>137</v>
      </c>
      <c r="B363" s="17" t="s">
        <v>37</v>
      </c>
      <c r="C363" s="16">
        <v>42878.412465277775</v>
      </c>
      <c r="D363" s="17" t="s">
        <v>5</v>
      </c>
      <c r="E363" s="17" t="s">
        <v>41</v>
      </c>
      <c r="F363" s="16">
        <v>42878.420474537037</v>
      </c>
      <c r="G363" s="16"/>
      <c r="H363" s="16"/>
      <c r="I363" s="11">
        <v>484</v>
      </c>
      <c r="J363" s="54" t="str">
        <f t="shared" si="15"/>
        <v/>
      </c>
      <c r="K363" t="str">
        <f t="shared" si="16"/>
        <v/>
      </c>
      <c r="L363" t="str">
        <f t="shared" si="17"/>
        <v/>
      </c>
    </row>
    <row r="364" spans="1:12" hidden="1" x14ac:dyDescent="0.2">
      <c r="A364" s="17" t="s">
        <v>136</v>
      </c>
      <c r="B364" s="17" t="s">
        <v>65</v>
      </c>
      <c r="C364" s="16">
        <v>42878.60125</v>
      </c>
      <c r="D364" s="17" t="s">
        <v>5</v>
      </c>
      <c r="E364" s="17" t="s">
        <v>40</v>
      </c>
      <c r="F364" s="16">
        <v>42878.601307870369</v>
      </c>
      <c r="G364" s="16"/>
      <c r="H364" s="16"/>
      <c r="I364" s="11">
        <v>486</v>
      </c>
      <c r="J364" s="54" t="str">
        <f t="shared" si="15"/>
        <v/>
      </c>
      <c r="K364" t="str">
        <f t="shared" si="16"/>
        <v/>
      </c>
      <c r="L364" t="str">
        <f t="shared" si="17"/>
        <v/>
      </c>
    </row>
    <row r="365" spans="1:12" hidden="1" x14ac:dyDescent="0.2">
      <c r="A365" s="17" t="s">
        <v>136</v>
      </c>
      <c r="B365" s="17" t="s">
        <v>65</v>
      </c>
      <c r="C365" s="16">
        <v>42878.60125</v>
      </c>
      <c r="D365" s="17" t="s">
        <v>5</v>
      </c>
      <c r="E365" s="17" t="s">
        <v>46</v>
      </c>
      <c r="F365" s="16">
        <v>42878.61136574074</v>
      </c>
      <c r="G365" s="16"/>
      <c r="H365" s="16"/>
      <c r="I365" s="11">
        <v>487</v>
      </c>
      <c r="J365" s="54">
        <f t="shared" si="15"/>
        <v>42887.554571759261</v>
      </c>
      <c r="K365" t="str">
        <f t="shared" si="16"/>
        <v>FAS.T2.ETOOLS</v>
      </c>
      <c r="L365" t="str">
        <f t="shared" si="17"/>
        <v/>
      </c>
    </row>
    <row r="366" spans="1:12" hidden="1" x14ac:dyDescent="0.2">
      <c r="A366" s="17" t="s">
        <v>136</v>
      </c>
      <c r="B366" s="17" t="s">
        <v>65</v>
      </c>
      <c r="C366" s="16">
        <v>42878.60125</v>
      </c>
      <c r="D366" s="17" t="s">
        <v>5</v>
      </c>
      <c r="E366" s="17" t="s">
        <v>36</v>
      </c>
      <c r="F366" s="16">
        <v>42887.554571759261</v>
      </c>
      <c r="G366" s="16"/>
      <c r="H366" s="16"/>
      <c r="I366" s="11">
        <v>489</v>
      </c>
      <c r="J366" s="54" t="str">
        <f t="shared" si="15"/>
        <v/>
      </c>
      <c r="K366" t="str">
        <f t="shared" si="16"/>
        <v>FAS.T2.ETOOLS</v>
      </c>
      <c r="L366" t="str">
        <f t="shared" si="17"/>
        <v/>
      </c>
    </row>
    <row r="367" spans="1:12" hidden="1" x14ac:dyDescent="0.2">
      <c r="A367" s="17" t="s">
        <v>136</v>
      </c>
      <c r="B367" s="17" t="s">
        <v>65</v>
      </c>
      <c r="C367" s="16">
        <v>42878.60125</v>
      </c>
      <c r="D367" s="17" t="s">
        <v>5</v>
      </c>
      <c r="E367" s="17" t="s">
        <v>46</v>
      </c>
      <c r="F367" s="16">
        <v>42887.554907407408</v>
      </c>
      <c r="G367" s="16"/>
      <c r="H367" s="16"/>
      <c r="I367" s="11">
        <v>490</v>
      </c>
      <c r="J367" s="54" t="str">
        <f t="shared" si="15"/>
        <v/>
      </c>
      <c r="K367" t="str">
        <f t="shared" si="16"/>
        <v>FAS.T2.ETOOLS</v>
      </c>
      <c r="L367" t="str">
        <f t="shared" si="17"/>
        <v/>
      </c>
    </row>
    <row r="368" spans="1:12" hidden="1" x14ac:dyDescent="0.2">
      <c r="A368" s="17" t="s">
        <v>135</v>
      </c>
      <c r="B368" s="17" t="s">
        <v>37</v>
      </c>
      <c r="C368" s="16">
        <v>42880.420358796298</v>
      </c>
      <c r="D368" s="17" t="s">
        <v>5</v>
      </c>
      <c r="E368" s="17" t="s">
        <v>40</v>
      </c>
      <c r="F368" s="16">
        <v>42880.420393518521</v>
      </c>
      <c r="G368" s="16"/>
      <c r="H368" s="16"/>
      <c r="I368" s="11">
        <v>492</v>
      </c>
      <c r="J368" s="54" t="str">
        <f t="shared" si="15"/>
        <v/>
      </c>
      <c r="K368" t="str">
        <f t="shared" si="16"/>
        <v/>
      </c>
      <c r="L368" t="str">
        <f t="shared" si="17"/>
        <v/>
      </c>
    </row>
    <row r="369" spans="1:12" hidden="1" x14ac:dyDescent="0.2">
      <c r="A369" s="17" t="s">
        <v>135</v>
      </c>
      <c r="B369" s="17" t="s">
        <v>37</v>
      </c>
      <c r="C369" s="16">
        <v>42880.420358796298</v>
      </c>
      <c r="D369" s="17" t="s">
        <v>5</v>
      </c>
      <c r="E369" s="17" t="s">
        <v>36</v>
      </c>
      <c r="F369" s="16">
        <v>42880.42769675926</v>
      </c>
      <c r="G369" s="16"/>
      <c r="H369" s="16"/>
      <c r="I369" s="11">
        <v>493</v>
      </c>
      <c r="J369" s="54" t="str">
        <f t="shared" si="15"/>
        <v/>
      </c>
      <c r="K369" t="str">
        <f t="shared" si="16"/>
        <v/>
      </c>
      <c r="L369" t="str">
        <f t="shared" si="17"/>
        <v/>
      </c>
    </row>
    <row r="370" spans="1:12" hidden="1" x14ac:dyDescent="0.2">
      <c r="A370" s="17" t="s">
        <v>135</v>
      </c>
      <c r="B370" s="17" t="s">
        <v>37</v>
      </c>
      <c r="C370" s="16">
        <v>42880.420358796298</v>
      </c>
      <c r="D370" s="17" t="s">
        <v>5</v>
      </c>
      <c r="E370" s="17" t="s">
        <v>46</v>
      </c>
      <c r="F370" s="16">
        <v>42892.393275462964</v>
      </c>
      <c r="G370" s="16"/>
      <c r="H370" s="16"/>
      <c r="I370" s="11">
        <v>495</v>
      </c>
      <c r="J370" s="54" t="str">
        <f t="shared" si="15"/>
        <v/>
      </c>
      <c r="K370" t="str">
        <f t="shared" si="16"/>
        <v>FAS.T2.ETOOLS</v>
      </c>
      <c r="L370" t="str">
        <f t="shared" si="17"/>
        <v/>
      </c>
    </row>
    <row r="371" spans="1:12" hidden="1" x14ac:dyDescent="0.2">
      <c r="A371" s="17" t="s">
        <v>134</v>
      </c>
      <c r="B371" s="17" t="s">
        <v>37</v>
      </c>
      <c r="C371" s="16">
        <v>42881.333564814813</v>
      </c>
      <c r="D371" s="17" t="s">
        <v>5</v>
      </c>
      <c r="E371" s="17" t="s">
        <v>40</v>
      </c>
      <c r="F371" s="16">
        <v>42881.333599537036</v>
      </c>
      <c r="G371" s="16"/>
      <c r="H371" s="16"/>
      <c r="I371" s="11">
        <v>497</v>
      </c>
      <c r="J371" s="54" t="str">
        <f t="shared" si="15"/>
        <v/>
      </c>
      <c r="K371" t="str">
        <f t="shared" si="16"/>
        <v/>
      </c>
      <c r="L371" t="str">
        <f t="shared" si="17"/>
        <v>NO</v>
      </c>
    </row>
    <row r="372" spans="1:12" hidden="1" x14ac:dyDescent="0.2">
      <c r="A372" s="17" t="s">
        <v>134</v>
      </c>
      <c r="B372" s="17" t="s">
        <v>37</v>
      </c>
      <c r="C372" s="16">
        <v>42881.333564814813</v>
      </c>
      <c r="D372" s="17" t="s">
        <v>5</v>
      </c>
      <c r="E372" s="17" t="s">
        <v>36</v>
      </c>
      <c r="F372" s="16">
        <v>42881.333831018521</v>
      </c>
      <c r="G372" s="16"/>
      <c r="H372" s="16"/>
      <c r="I372" s="11">
        <v>498</v>
      </c>
      <c r="J372" s="54" t="str">
        <f t="shared" si="15"/>
        <v/>
      </c>
      <c r="K372" t="str">
        <f t="shared" si="16"/>
        <v/>
      </c>
      <c r="L372" t="str">
        <f t="shared" si="17"/>
        <v>NO</v>
      </c>
    </row>
    <row r="373" spans="1:12" hidden="1" x14ac:dyDescent="0.2">
      <c r="A373" s="17" t="s">
        <v>134</v>
      </c>
      <c r="B373" s="17" t="s">
        <v>37</v>
      </c>
      <c r="C373" s="16">
        <v>42881.333564814813</v>
      </c>
      <c r="D373" s="17" t="s">
        <v>5</v>
      </c>
      <c r="E373" s="17" t="s">
        <v>46</v>
      </c>
      <c r="F373" s="16">
        <v>42881.638425925928</v>
      </c>
      <c r="G373" s="16"/>
      <c r="H373" s="16"/>
      <c r="I373" s="11">
        <v>500</v>
      </c>
      <c r="J373" s="54">
        <f t="shared" si="15"/>
        <v>42881.664884259262</v>
      </c>
      <c r="K373" t="str">
        <f t="shared" si="16"/>
        <v>FAS.T2.ETOOLS</v>
      </c>
      <c r="L373" t="str">
        <f t="shared" si="17"/>
        <v>NO</v>
      </c>
    </row>
    <row r="374" spans="1:12" hidden="1" x14ac:dyDescent="0.2">
      <c r="A374" s="17" t="s">
        <v>134</v>
      </c>
      <c r="B374" s="17" t="s">
        <v>37</v>
      </c>
      <c r="C374" s="16">
        <v>42881.333564814813</v>
      </c>
      <c r="D374" s="17" t="s">
        <v>5</v>
      </c>
      <c r="E374" s="17" t="s">
        <v>41</v>
      </c>
      <c r="F374" s="16">
        <v>42881.664884259262</v>
      </c>
      <c r="G374" s="16"/>
      <c r="H374" s="16"/>
      <c r="I374" s="11">
        <v>501</v>
      </c>
      <c r="J374" s="54" t="str">
        <f t="shared" si="15"/>
        <v/>
      </c>
      <c r="K374" t="str">
        <f t="shared" si="16"/>
        <v>FAS.T2.ETOOLS</v>
      </c>
      <c r="L374" t="str">
        <f t="shared" si="17"/>
        <v>NO</v>
      </c>
    </row>
    <row r="375" spans="1:12" hidden="1" x14ac:dyDescent="0.2">
      <c r="A375" s="17" t="s">
        <v>134</v>
      </c>
      <c r="B375" s="17" t="s">
        <v>37</v>
      </c>
      <c r="C375" s="16">
        <v>42881.333564814813</v>
      </c>
      <c r="D375" s="17" t="s">
        <v>5</v>
      </c>
      <c r="E375" s="17" t="s">
        <v>99</v>
      </c>
      <c r="F375" s="16">
        <v>42892.639224537037</v>
      </c>
      <c r="G375" s="16"/>
      <c r="H375" s="16"/>
      <c r="I375" s="11">
        <v>503</v>
      </c>
      <c r="J375" s="54" t="str">
        <f t="shared" si="15"/>
        <v/>
      </c>
      <c r="K375" t="str">
        <f t="shared" si="16"/>
        <v>FAS.T2.ETOOLS</v>
      </c>
      <c r="L375" t="str">
        <f t="shared" si="17"/>
        <v>NO</v>
      </c>
    </row>
    <row r="376" spans="1:12" hidden="1" x14ac:dyDescent="0.2">
      <c r="A376" s="17" t="s">
        <v>134</v>
      </c>
      <c r="B376" s="17" t="s">
        <v>37</v>
      </c>
      <c r="C376" s="16">
        <v>42881.333564814813</v>
      </c>
      <c r="D376" s="17" t="s">
        <v>5</v>
      </c>
      <c r="E376" s="17" t="s">
        <v>57</v>
      </c>
      <c r="F376" s="16">
        <v>42892.674942129626</v>
      </c>
      <c r="G376" s="16"/>
      <c r="H376" s="16"/>
      <c r="I376" s="11">
        <v>504</v>
      </c>
      <c r="J376" s="54" t="str">
        <f t="shared" si="15"/>
        <v/>
      </c>
      <c r="K376" t="str">
        <f t="shared" si="16"/>
        <v>FAS.T2.ETOOLS</v>
      </c>
      <c r="L376" t="str">
        <f t="shared" si="17"/>
        <v>NO</v>
      </c>
    </row>
    <row r="377" spans="1:12" hidden="1" x14ac:dyDescent="0.2">
      <c r="A377" s="17" t="s">
        <v>134</v>
      </c>
      <c r="B377" s="17" t="s">
        <v>37</v>
      </c>
      <c r="C377" s="16">
        <v>42881.333564814813</v>
      </c>
      <c r="D377" s="17" t="s">
        <v>5</v>
      </c>
      <c r="E377" s="17" t="s">
        <v>41</v>
      </c>
      <c r="F377" s="16">
        <v>42893.425925925927</v>
      </c>
      <c r="G377" s="16"/>
      <c r="H377" s="16"/>
      <c r="I377" s="11">
        <v>506</v>
      </c>
      <c r="J377" s="54" t="str">
        <f t="shared" si="15"/>
        <v/>
      </c>
      <c r="K377" t="str">
        <f t="shared" si="16"/>
        <v>FAS.T2.ETOOLS</v>
      </c>
      <c r="L377" t="str">
        <f t="shared" si="17"/>
        <v>NO</v>
      </c>
    </row>
    <row r="378" spans="1:12" hidden="1" x14ac:dyDescent="0.2">
      <c r="A378" s="17" t="s">
        <v>133</v>
      </c>
      <c r="B378" s="17" t="s">
        <v>37</v>
      </c>
      <c r="C378" s="16">
        <v>42881.608275462961</v>
      </c>
      <c r="D378" s="17" t="s">
        <v>5</v>
      </c>
      <c r="E378" s="17" t="s">
        <v>40</v>
      </c>
      <c r="F378" s="16">
        <v>42881.608298611114</v>
      </c>
      <c r="G378" s="16"/>
      <c r="H378" s="16"/>
      <c r="I378" s="11">
        <v>508</v>
      </c>
      <c r="J378" s="54" t="str">
        <f t="shared" si="15"/>
        <v/>
      </c>
      <c r="K378" t="str">
        <f t="shared" si="16"/>
        <v/>
      </c>
      <c r="L378" t="str">
        <f t="shared" si="17"/>
        <v/>
      </c>
    </row>
    <row r="379" spans="1:12" hidden="1" x14ac:dyDescent="0.2">
      <c r="A379" s="17" t="s">
        <v>133</v>
      </c>
      <c r="B379" s="17" t="s">
        <v>37</v>
      </c>
      <c r="C379" s="16">
        <v>42881.608275462961</v>
      </c>
      <c r="D379" s="17" t="s">
        <v>5</v>
      </c>
      <c r="E379" s="17" t="s">
        <v>36</v>
      </c>
      <c r="F379" s="16">
        <v>42881.60864583333</v>
      </c>
      <c r="G379" s="16"/>
      <c r="H379" s="16"/>
      <c r="I379" s="11">
        <v>509</v>
      </c>
      <c r="J379" s="54" t="str">
        <f t="shared" si="15"/>
        <v/>
      </c>
      <c r="K379" t="str">
        <f t="shared" si="16"/>
        <v/>
      </c>
      <c r="L379" t="str">
        <f t="shared" si="17"/>
        <v/>
      </c>
    </row>
    <row r="380" spans="1:12" hidden="1" x14ac:dyDescent="0.2">
      <c r="A380" s="17" t="s">
        <v>133</v>
      </c>
      <c r="B380" s="17" t="s">
        <v>37</v>
      </c>
      <c r="C380" s="16">
        <v>42881.608275462961</v>
      </c>
      <c r="D380" s="17" t="s">
        <v>5</v>
      </c>
      <c r="E380" s="17" t="s">
        <v>41</v>
      </c>
      <c r="F380" s="16">
        <v>42881.762800925928</v>
      </c>
      <c r="G380" s="16"/>
      <c r="H380" s="16"/>
      <c r="I380" s="11">
        <v>511</v>
      </c>
      <c r="J380" s="54" t="str">
        <f t="shared" si="15"/>
        <v/>
      </c>
      <c r="K380" t="str">
        <f t="shared" si="16"/>
        <v/>
      </c>
      <c r="L380" t="str">
        <f t="shared" si="17"/>
        <v/>
      </c>
    </row>
    <row r="381" spans="1:12" hidden="1" x14ac:dyDescent="0.2">
      <c r="A381" s="17" t="s">
        <v>132</v>
      </c>
      <c r="B381" s="17" t="s">
        <v>65</v>
      </c>
      <c r="C381" s="16">
        <v>42881.637048611112</v>
      </c>
      <c r="D381" s="17" t="s">
        <v>5</v>
      </c>
      <c r="E381" s="17" t="s">
        <v>40</v>
      </c>
      <c r="F381" s="16">
        <v>42881.637060185189</v>
      </c>
      <c r="G381" s="16"/>
      <c r="H381" s="16"/>
      <c r="I381" s="11">
        <v>513</v>
      </c>
      <c r="J381" s="54" t="str">
        <f t="shared" si="15"/>
        <v/>
      </c>
      <c r="K381" t="str">
        <f t="shared" si="16"/>
        <v/>
      </c>
      <c r="L381" t="str">
        <f t="shared" si="17"/>
        <v/>
      </c>
    </row>
    <row r="382" spans="1:12" hidden="1" x14ac:dyDescent="0.2">
      <c r="A382" s="17" t="s">
        <v>132</v>
      </c>
      <c r="B382" s="17" t="s">
        <v>65</v>
      </c>
      <c r="C382" s="16">
        <v>42881.637048611112</v>
      </c>
      <c r="D382" s="17" t="s">
        <v>5</v>
      </c>
      <c r="E382" s="17" t="s">
        <v>36</v>
      </c>
      <c r="F382" s="16">
        <v>42881.63925925926</v>
      </c>
      <c r="G382" s="16"/>
      <c r="H382" s="16"/>
      <c r="I382" s="11">
        <v>514</v>
      </c>
      <c r="J382" s="54" t="str">
        <f t="shared" si="15"/>
        <v/>
      </c>
      <c r="K382" t="str">
        <f t="shared" si="16"/>
        <v/>
      </c>
      <c r="L382" t="str">
        <f t="shared" si="17"/>
        <v/>
      </c>
    </row>
    <row r="383" spans="1:12" hidden="1" x14ac:dyDescent="0.2">
      <c r="A383" s="17" t="s">
        <v>132</v>
      </c>
      <c r="B383" s="17" t="s">
        <v>65</v>
      </c>
      <c r="C383" s="16">
        <v>42881.637048611112</v>
      </c>
      <c r="D383" s="17" t="s">
        <v>5</v>
      </c>
      <c r="E383" s="17" t="s">
        <v>46</v>
      </c>
      <c r="F383" s="16">
        <v>42881.643414351849</v>
      </c>
      <c r="G383" s="16"/>
      <c r="H383" s="16"/>
      <c r="I383" s="11">
        <v>516</v>
      </c>
      <c r="J383" s="54" t="str">
        <f t="shared" si="15"/>
        <v/>
      </c>
      <c r="K383" t="str">
        <f t="shared" si="16"/>
        <v>FAS.T2.ETOOLS</v>
      </c>
      <c r="L383" t="str">
        <f t="shared" si="17"/>
        <v/>
      </c>
    </row>
    <row r="384" spans="1:12" hidden="1" x14ac:dyDescent="0.2">
      <c r="A384" s="17" t="s">
        <v>131</v>
      </c>
      <c r="B384" s="17" t="s">
        <v>37</v>
      </c>
      <c r="C384" s="16">
        <v>42881.648298611108</v>
      </c>
      <c r="D384" s="17" t="s">
        <v>5</v>
      </c>
      <c r="E384" s="17" t="s">
        <v>40</v>
      </c>
      <c r="F384" s="16">
        <v>42881.648333333331</v>
      </c>
      <c r="G384" s="16"/>
      <c r="H384" s="16"/>
      <c r="I384" s="11">
        <v>518</v>
      </c>
      <c r="J384" s="54" t="str">
        <f t="shared" si="15"/>
        <v/>
      </c>
      <c r="K384" t="str">
        <f t="shared" si="16"/>
        <v/>
      </c>
      <c r="L384" t="str">
        <f t="shared" si="17"/>
        <v/>
      </c>
    </row>
    <row r="385" spans="1:12" hidden="1" x14ac:dyDescent="0.2">
      <c r="A385" s="17" t="s">
        <v>131</v>
      </c>
      <c r="B385" s="17" t="s">
        <v>37</v>
      </c>
      <c r="C385" s="16">
        <v>42881.648298611108</v>
      </c>
      <c r="D385" s="17" t="s">
        <v>5</v>
      </c>
      <c r="E385" s="17" t="s">
        <v>41</v>
      </c>
      <c r="F385" s="16">
        <v>42881.657488425924</v>
      </c>
      <c r="G385" s="16"/>
      <c r="H385" s="16"/>
      <c r="I385" s="11">
        <v>519</v>
      </c>
      <c r="J385" s="54" t="str">
        <f t="shared" si="15"/>
        <v/>
      </c>
      <c r="K385" t="str">
        <f t="shared" si="16"/>
        <v/>
      </c>
      <c r="L385" t="str">
        <f t="shared" si="17"/>
        <v/>
      </c>
    </row>
    <row r="386" spans="1:12" hidden="1" x14ac:dyDescent="0.2">
      <c r="A386" s="17" t="s">
        <v>130</v>
      </c>
      <c r="B386" s="17" t="s">
        <v>37</v>
      </c>
      <c r="C386" s="16">
        <v>42885.342314814814</v>
      </c>
      <c r="D386" s="17" t="s">
        <v>5</v>
      </c>
      <c r="E386" s="17" t="s">
        <v>40</v>
      </c>
      <c r="F386" s="16">
        <v>42885.342326388891</v>
      </c>
      <c r="G386" s="16">
        <v>42892.654421296298</v>
      </c>
      <c r="H386" s="16"/>
      <c r="I386" s="11">
        <v>521</v>
      </c>
      <c r="J386" s="54" t="str">
        <f t="shared" ref="J386:J449" si="18">IF(AND(A386=A387,E386="FAS.T2.ETOOLS",E387&lt;&gt;"FAS.T2.ETOOLS"),F387, "")</f>
        <v/>
      </c>
      <c r="K386" t="str">
        <f t="shared" ref="K386:K449" si="19">IF(OR(AND(A386=A385, E386="FAS.T2.ETOOLS"),AND(A386=A385, K385="FAS.T2.ETOOLS")), "FAS.T2.ETOOLS", "")</f>
        <v/>
      </c>
      <c r="L386" t="str">
        <f t="shared" ref="L386:L449" si="20">IF(AND(A386&lt;&gt;A387, E386&lt;&gt;"FAS.T2.ETOOLS", K386="FAS.T2.ETOOLS"), "NO", IF(AND(A386=A387,L387="NO"), "NO", ""))</f>
        <v/>
      </c>
    </row>
    <row r="387" spans="1:12" hidden="1" x14ac:dyDescent="0.2">
      <c r="A387" s="17" t="s">
        <v>130</v>
      </c>
      <c r="B387" s="17" t="s">
        <v>37</v>
      </c>
      <c r="C387" s="16">
        <v>42885.342314814814</v>
      </c>
      <c r="D387" s="17" t="s">
        <v>5</v>
      </c>
      <c r="E387" s="17" t="s">
        <v>36</v>
      </c>
      <c r="F387" s="16">
        <v>42885.346574074072</v>
      </c>
      <c r="G387" s="16">
        <v>42892.654421296298</v>
      </c>
      <c r="H387" s="16"/>
      <c r="I387" s="11">
        <v>522</v>
      </c>
      <c r="J387" s="54" t="str">
        <f t="shared" si="18"/>
        <v/>
      </c>
      <c r="K387" t="str">
        <f t="shared" si="19"/>
        <v/>
      </c>
      <c r="L387" t="str">
        <f t="shared" si="20"/>
        <v/>
      </c>
    </row>
    <row r="388" spans="1:12" hidden="1" x14ac:dyDescent="0.2">
      <c r="A388" s="17" t="s">
        <v>130</v>
      </c>
      <c r="B388" s="17" t="s">
        <v>37</v>
      </c>
      <c r="C388" s="16">
        <v>42885.342314814814</v>
      </c>
      <c r="D388" s="17" t="s">
        <v>5</v>
      </c>
      <c r="E388" s="17" t="s">
        <v>41</v>
      </c>
      <c r="F388" s="16">
        <v>42885.370393518519</v>
      </c>
      <c r="G388" s="16">
        <v>42892.654421296298</v>
      </c>
      <c r="H388" s="16"/>
      <c r="I388" s="11">
        <v>524</v>
      </c>
      <c r="J388" s="54" t="str">
        <f t="shared" si="18"/>
        <v/>
      </c>
      <c r="K388" t="str">
        <f t="shared" si="19"/>
        <v/>
      </c>
      <c r="L388" t="str">
        <f t="shared" si="20"/>
        <v/>
      </c>
    </row>
    <row r="389" spans="1:12" hidden="1" x14ac:dyDescent="0.2">
      <c r="A389" s="17" t="s">
        <v>129</v>
      </c>
      <c r="B389" s="17" t="s">
        <v>37</v>
      </c>
      <c r="C389" s="16">
        <v>42885.369131944448</v>
      </c>
      <c r="D389" s="17" t="s">
        <v>5</v>
      </c>
      <c r="E389" s="17" t="s">
        <v>40</v>
      </c>
      <c r="F389" s="16">
        <v>42885.369166666664</v>
      </c>
      <c r="G389" s="16"/>
      <c r="H389" s="16"/>
      <c r="I389" s="11">
        <v>526</v>
      </c>
      <c r="J389" s="54" t="str">
        <f t="shared" si="18"/>
        <v/>
      </c>
      <c r="K389" t="str">
        <f t="shared" si="19"/>
        <v/>
      </c>
      <c r="L389" t="str">
        <f t="shared" si="20"/>
        <v/>
      </c>
    </row>
    <row r="390" spans="1:12" hidden="1" x14ac:dyDescent="0.2">
      <c r="A390" s="17" t="s">
        <v>129</v>
      </c>
      <c r="B390" s="17" t="s">
        <v>37</v>
      </c>
      <c r="C390" s="16">
        <v>42885.369131944448</v>
      </c>
      <c r="D390" s="17" t="s">
        <v>5</v>
      </c>
      <c r="E390" s="17" t="s">
        <v>36</v>
      </c>
      <c r="F390" s="16">
        <v>42885.371180555558</v>
      </c>
      <c r="G390" s="16"/>
      <c r="H390" s="16"/>
      <c r="I390" s="11">
        <v>527</v>
      </c>
      <c r="J390" s="54" t="str">
        <f t="shared" si="18"/>
        <v/>
      </c>
      <c r="K390" t="str">
        <f t="shared" si="19"/>
        <v/>
      </c>
      <c r="L390" t="str">
        <f t="shared" si="20"/>
        <v/>
      </c>
    </row>
    <row r="391" spans="1:12" hidden="1" x14ac:dyDescent="0.2">
      <c r="A391" s="17" t="s">
        <v>129</v>
      </c>
      <c r="B391" s="17" t="s">
        <v>37</v>
      </c>
      <c r="C391" s="16">
        <v>42885.369131944448</v>
      </c>
      <c r="D391" s="17" t="s">
        <v>5</v>
      </c>
      <c r="E391" s="17" t="s">
        <v>41</v>
      </c>
      <c r="F391" s="16">
        <v>42885.476157407407</v>
      </c>
      <c r="G391" s="16"/>
      <c r="H391" s="16"/>
      <c r="I391" s="11">
        <v>529</v>
      </c>
      <c r="J391" s="54" t="str">
        <f t="shared" si="18"/>
        <v/>
      </c>
      <c r="K391" t="str">
        <f t="shared" si="19"/>
        <v/>
      </c>
      <c r="L391" t="str">
        <f t="shared" si="20"/>
        <v/>
      </c>
    </row>
    <row r="392" spans="1:12" hidden="1" x14ac:dyDescent="0.2">
      <c r="A392" s="17" t="s">
        <v>128</v>
      </c>
      <c r="B392" s="17" t="s">
        <v>37</v>
      </c>
      <c r="C392" s="16">
        <v>42885.400185185186</v>
      </c>
      <c r="D392" s="17" t="s">
        <v>5</v>
      </c>
      <c r="E392" s="17" t="s">
        <v>40</v>
      </c>
      <c r="F392" s="16">
        <v>42885.400254629632</v>
      </c>
      <c r="G392" s="16"/>
      <c r="H392" s="16"/>
      <c r="I392" s="11">
        <v>531</v>
      </c>
      <c r="J392" s="54" t="str">
        <f t="shared" si="18"/>
        <v/>
      </c>
      <c r="K392" t="str">
        <f t="shared" si="19"/>
        <v/>
      </c>
      <c r="L392" t="str">
        <f t="shared" si="20"/>
        <v/>
      </c>
    </row>
    <row r="393" spans="1:12" hidden="1" x14ac:dyDescent="0.2">
      <c r="A393" s="17" t="s">
        <v>128</v>
      </c>
      <c r="B393" s="17" t="s">
        <v>37</v>
      </c>
      <c r="C393" s="16">
        <v>42885.400185185186</v>
      </c>
      <c r="D393" s="17" t="s">
        <v>5</v>
      </c>
      <c r="E393" s="17" t="s">
        <v>36</v>
      </c>
      <c r="F393" s="16">
        <v>42885.400868055556</v>
      </c>
      <c r="G393" s="16"/>
      <c r="H393" s="16"/>
      <c r="I393" s="11">
        <v>532</v>
      </c>
      <c r="J393" s="54" t="str">
        <f t="shared" si="18"/>
        <v/>
      </c>
      <c r="K393" t="str">
        <f t="shared" si="19"/>
        <v/>
      </c>
      <c r="L393" t="str">
        <f t="shared" si="20"/>
        <v/>
      </c>
    </row>
    <row r="394" spans="1:12" hidden="1" x14ac:dyDescent="0.2">
      <c r="A394" s="17" t="s">
        <v>128</v>
      </c>
      <c r="B394" s="17" t="s">
        <v>37</v>
      </c>
      <c r="C394" s="16">
        <v>42885.400185185186</v>
      </c>
      <c r="D394" s="17" t="s">
        <v>5</v>
      </c>
      <c r="E394" s="17" t="s">
        <v>41</v>
      </c>
      <c r="F394" s="16">
        <v>42885.446770833332</v>
      </c>
      <c r="G394" s="16"/>
      <c r="H394" s="16"/>
      <c r="I394" s="11">
        <v>533</v>
      </c>
      <c r="J394" s="54" t="str">
        <f t="shared" si="18"/>
        <v/>
      </c>
      <c r="K394" t="str">
        <f t="shared" si="19"/>
        <v/>
      </c>
      <c r="L394" t="str">
        <f t="shared" si="20"/>
        <v/>
      </c>
    </row>
    <row r="395" spans="1:12" hidden="1" x14ac:dyDescent="0.2">
      <c r="A395" s="17" t="s">
        <v>127</v>
      </c>
      <c r="B395" s="17" t="s">
        <v>37</v>
      </c>
      <c r="C395" s="16">
        <v>42885.428703703707</v>
      </c>
      <c r="D395" s="17" t="s">
        <v>5</v>
      </c>
      <c r="E395" s="17" t="s">
        <v>40</v>
      </c>
      <c r="F395" s="16">
        <v>42885.428738425922</v>
      </c>
      <c r="G395" s="16"/>
      <c r="H395" s="16"/>
      <c r="I395" s="11">
        <v>535</v>
      </c>
      <c r="J395" s="54" t="str">
        <f t="shared" si="18"/>
        <v/>
      </c>
      <c r="K395" t="str">
        <f t="shared" si="19"/>
        <v/>
      </c>
      <c r="L395" t="str">
        <f t="shared" si="20"/>
        <v/>
      </c>
    </row>
    <row r="396" spans="1:12" hidden="1" x14ac:dyDescent="0.2">
      <c r="A396" s="17" t="s">
        <v>127</v>
      </c>
      <c r="B396" s="17" t="s">
        <v>37</v>
      </c>
      <c r="C396" s="16">
        <v>42885.428703703707</v>
      </c>
      <c r="D396" s="17" t="s">
        <v>5</v>
      </c>
      <c r="E396" s="17" t="s">
        <v>36</v>
      </c>
      <c r="F396" s="16">
        <v>42885.42900462963</v>
      </c>
      <c r="G396" s="16"/>
      <c r="H396" s="16"/>
      <c r="I396" s="11">
        <v>536</v>
      </c>
      <c r="J396" s="54" t="str">
        <f t="shared" si="18"/>
        <v/>
      </c>
      <c r="K396" t="str">
        <f t="shared" si="19"/>
        <v/>
      </c>
      <c r="L396" t="str">
        <f t="shared" si="20"/>
        <v/>
      </c>
    </row>
    <row r="397" spans="1:12" hidden="1" x14ac:dyDescent="0.2">
      <c r="A397" s="17" t="s">
        <v>127</v>
      </c>
      <c r="B397" s="17" t="s">
        <v>37</v>
      </c>
      <c r="C397" s="16">
        <v>42885.428703703707</v>
      </c>
      <c r="D397" s="17" t="s">
        <v>5</v>
      </c>
      <c r="E397" s="17" t="s">
        <v>41</v>
      </c>
      <c r="F397" s="16">
        <v>42885.480381944442</v>
      </c>
      <c r="G397" s="16"/>
      <c r="H397" s="16"/>
      <c r="I397" s="11">
        <v>537</v>
      </c>
      <c r="J397" s="54" t="str">
        <f t="shared" si="18"/>
        <v/>
      </c>
      <c r="K397" t="str">
        <f t="shared" si="19"/>
        <v/>
      </c>
      <c r="L397" t="str">
        <f t="shared" si="20"/>
        <v/>
      </c>
    </row>
    <row r="398" spans="1:12" hidden="1" x14ac:dyDescent="0.2">
      <c r="A398" s="17" t="s">
        <v>126</v>
      </c>
      <c r="B398" s="17" t="s">
        <v>37</v>
      </c>
      <c r="C398" s="16">
        <v>42885.548437500001</v>
      </c>
      <c r="D398" s="17" t="s">
        <v>5</v>
      </c>
      <c r="E398" s="17" t="s">
        <v>40</v>
      </c>
      <c r="F398" s="16">
        <v>42885.54855324074</v>
      </c>
      <c r="G398" s="16"/>
      <c r="H398" s="16"/>
      <c r="I398" s="11">
        <v>539</v>
      </c>
      <c r="J398" s="54" t="str">
        <f t="shared" si="18"/>
        <v/>
      </c>
      <c r="K398" t="str">
        <f t="shared" si="19"/>
        <v/>
      </c>
      <c r="L398" t="str">
        <f t="shared" si="20"/>
        <v/>
      </c>
    </row>
    <row r="399" spans="1:12" hidden="1" x14ac:dyDescent="0.2">
      <c r="A399" s="17" t="s">
        <v>126</v>
      </c>
      <c r="B399" s="17" t="s">
        <v>37</v>
      </c>
      <c r="C399" s="16">
        <v>42885.548437500001</v>
      </c>
      <c r="D399" s="17" t="s">
        <v>5</v>
      </c>
      <c r="E399" s="17" t="s">
        <v>36</v>
      </c>
      <c r="F399" s="16">
        <v>42885.548958333333</v>
      </c>
      <c r="G399" s="16"/>
      <c r="H399" s="16"/>
      <c r="I399" s="11">
        <v>540</v>
      </c>
      <c r="J399" s="54" t="str">
        <f t="shared" si="18"/>
        <v/>
      </c>
      <c r="K399" t="str">
        <f t="shared" si="19"/>
        <v/>
      </c>
      <c r="L399" t="str">
        <f t="shared" si="20"/>
        <v/>
      </c>
    </row>
    <row r="400" spans="1:12" hidden="1" x14ac:dyDescent="0.2">
      <c r="A400" s="17" t="s">
        <v>126</v>
      </c>
      <c r="B400" s="17" t="s">
        <v>37</v>
      </c>
      <c r="C400" s="16">
        <v>42885.548437500001</v>
      </c>
      <c r="D400" s="17" t="s">
        <v>5</v>
      </c>
      <c r="E400" s="17" t="s">
        <v>41</v>
      </c>
      <c r="F400" s="16">
        <v>42885.556273148148</v>
      </c>
      <c r="G400" s="16"/>
      <c r="H400" s="16"/>
      <c r="I400" s="11">
        <v>542</v>
      </c>
      <c r="J400" s="54" t="str">
        <f t="shared" si="18"/>
        <v/>
      </c>
      <c r="K400" t="str">
        <f t="shared" si="19"/>
        <v/>
      </c>
      <c r="L400" t="str">
        <f t="shared" si="20"/>
        <v/>
      </c>
    </row>
    <row r="401" spans="1:12" hidden="1" x14ac:dyDescent="0.2">
      <c r="A401" s="17" t="s">
        <v>125</v>
      </c>
      <c r="B401" s="17" t="s">
        <v>37</v>
      </c>
      <c r="C401" s="16">
        <v>42885.606956018521</v>
      </c>
      <c r="D401" s="17" t="s">
        <v>5</v>
      </c>
      <c r="E401" s="17" t="s">
        <v>40</v>
      </c>
      <c r="F401" s="16">
        <v>42885.60701388889</v>
      </c>
      <c r="G401" s="16"/>
      <c r="H401" s="16"/>
      <c r="I401" s="11">
        <v>544</v>
      </c>
      <c r="J401" s="54" t="str">
        <f t="shared" si="18"/>
        <v/>
      </c>
      <c r="K401" t="str">
        <f t="shared" si="19"/>
        <v/>
      </c>
      <c r="L401" t="str">
        <f t="shared" si="20"/>
        <v/>
      </c>
    </row>
    <row r="402" spans="1:12" hidden="1" x14ac:dyDescent="0.2">
      <c r="A402" s="17" t="s">
        <v>125</v>
      </c>
      <c r="B402" s="17" t="s">
        <v>37</v>
      </c>
      <c r="C402" s="16">
        <v>42885.606956018521</v>
      </c>
      <c r="D402" s="17" t="s">
        <v>5</v>
      </c>
      <c r="E402" s="17" t="s">
        <v>36</v>
      </c>
      <c r="F402" s="16">
        <v>42885.608182870368</v>
      </c>
      <c r="G402" s="16"/>
      <c r="H402" s="16"/>
      <c r="I402" s="11">
        <v>545</v>
      </c>
      <c r="J402" s="54" t="str">
        <f t="shared" si="18"/>
        <v/>
      </c>
      <c r="K402" t="str">
        <f t="shared" si="19"/>
        <v/>
      </c>
      <c r="L402" t="str">
        <f t="shared" si="20"/>
        <v/>
      </c>
    </row>
    <row r="403" spans="1:12" hidden="1" x14ac:dyDescent="0.2">
      <c r="A403" s="17" t="s">
        <v>125</v>
      </c>
      <c r="B403" s="17" t="s">
        <v>37</v>
      </c>
      <c r="C403" s="16">
        <v>42885.606956018521</v>
      </c>
      <c r="D403" s="17" t="s">
        <v>5</v>
      </c>
      <c r="E403" s="17" t="s">
        <v>46</v>
      </c>
      <c r="F403" s="16">
        <v>42886.611805555556</v>
      </c>
      <c r="G403" s="16"/>
      <c r="H403" s="16"/>
      <c r="I403" s="11">
        <v>548</v>
      </c>
      <c r="J403" s="54" t="str">
        <f t="shared" si="18"/>
        <v/>
      </c>
      <c r="K403" t="str">
        <f t="shared" si="19"/>
        <v>FAS.T2.ETOOLS</v>
      </c>
      <c r="L403" t="str">
        <f t="shared" si="20"/>
        <v/>
      </c>
    </row>
    <row r="404" spans="1:12" hidden="1" x14ac:dyDescent="0.2">
      <c r="A404" s="17" t="s">
        <v>124</v>
      </c>
      <c r="B404" s="17" t="s">
        <v>37</v>
      </c>
      <c r="C404" s="16">
        <v>42886.493969907409</v>
      </c>
      <c r="D404" s="17" t="s">
        <v>5</v>
      </c>
      <c r="E404" s="17" t="s">
        <v>40</v>
      </c>
      <c r="F404" s="16">
        <v>42886.493981481479</v>
      </c>
      <c r="G404" s="16"/>
      <c r="H404" s="16"/>
      <c r="I404" s="11">
        <v>550</v>
      </c>
      <c r="J404" s="54" t="str">
        <f t="shared" si="18"/>
        <v/>
      </c>
      <c r="K404" t="str">
        <f t="shared" si="19"/>
        <v/>
      </c>
      <c r="L404" t="str">
        <f t="shared" si="20"/>
        <v/>
      </c>
    </row>
    <row r="405" spans="1:12" hidden="1" x14ac:dyDescent="0.2">
      <c r="A405" s="17" t="s">
        <v>124</v>
      </c>
      <c r="B405" s="17" t="s">
        <v>37</v>
      </c>
      <c r="C405" s="16">
        <v>42886.493969907409</v>
      </c>
      <c r="D405" s="17" t="s">
        <v>5</v>
      </c>
      <c r="E405" s="17" t="s">
        <v>51</v>
      </c>
      <c r="F405" s="16">
        <v>42886.496145833335</v>
      </c>
      <c r="G405" s="16"/>
      <c r="H405" s="16"/>
      <c r="I405" s="11">
        <v>551</v>
      </c>
      <c r="J405" s="54" t="str">
        <f t="shared" si="18"/>
        <v/>
      </c>
      <c r="K405" t="str">
        <f t="shared" si="19"/>
        <v/>
      </c>
      <c r="L405" t="str">
        <f t="shared" si="20"/>
        <v/>
      </c>
    </row>
    <row r="406" spans="1:12" hidden="1" x14ac:dyDescent="0.2">
      <c r="A406" s="17" t="s">
        <v>121</v>
      </c>
      <c r="B406" s="17" t="s">
        <v>37</v>
      </c>
      <c r="C406" s="16">
        <v>42887.495046296295</v>
      </c>
      <c r="D406" s="17" t="s">
        <v>5</v>
      </c>
      <c r="E406" s="17" t="s">
        <v>40</v>
      </c>
      <c r="F406" s="16">
        <v>42887.495057870372</v>
      </c>
      <c r="G406" s="16"/>
      <c r="H406" s="16"/>
      <c r="I406" s="11">
        <v>552</v>
      </c>
      <c r="J406" s="54" t="str">
        <f t="shared" si="18"/>
        <v/>
      </c>
      <c r="K406" t="str">
        <f t="shared" si="19"/>
        <v/>
      </c>
      <c r="L406" t="str">
        <f t="shared" si="20"/>
        <v/>
      </c>
    </row>
    <row r="407" spans="1:12" hidden="1" x14ac:dyDescent="0.2">
      <c r="A407" s="17" t="s">
        <v>121</v>
      </c>
      <c r="B407" s="17" t="s">
        <v>37</v>
      </c>
      <c r="C407" s="16">
        <v>42887.495046296295</v>
      </c>
      <c r="D407" s="17" t="s">
        <v>5</v>
      </c>
      <c r="E407" s="17" t="s">
        <v>123</v>
      </c>
      <c r="F407" s="16">
        <v>42887.497650462959</v>
      </c>
      <c r="G407" s="16"/>
      <c r="H407" s="16"/>
      <c r="I407" s="11">
        <v>553</v>
      </c>
      <c r="J407" s="54" t="str">
        <f t="shared" si="18"/>
        <v/>
      </c>
      <c r="K407" t="str">
        <f t="shared" si="19"/>
        <v/>
      </c>
      <c r="L407" t="str">
        <f t="shared" si="20"/>
        <v/>
      </c>
    </row>
    <row r="408" spans="1:12" hidden="1" x14ac:dyDescent="0.2">
      <c r="A408" s="17" t="s">
        <v>121</v>
      </c>
      <c r="B408" s="17" t="s">
        <v>37</v>
      </c>
      <c r="C408" s="16">
        <v>42887.495046296295</v>
      </c>
      <c r="D408" s="17" t="s">
        <v>5</v>
      </c>
      <c r="E408" s="17" t="s">
        <v>40</v>
      </c>
      <c r="F408" s="16">
        <v>42893.407534722224</v>
      </c>
      <c r="G408" s="16"/>
      <c r="H408" s="16"/>
      <c r="I408" s="11">
        <v>555</v>
      </c>
      <c r="J408" s="54" t="str">
        <f t="shared" si="18"/>
        <v/>
      </c>
      <c r="K408" t="str">
        <f t="shared" si="19"/>
        <v/>
      </c>
      <c r="L408" t="str">
        <f t="shared" si="20"/>
        <v/>
      </c>
    </row>
    <row r="409" spans="1:12" hidden="1" x14ac:dyDescent="0.2">
      <c r="A409" s="17" t="s">
        <v>121</v>
      </c>
      <c r="B409" s="17" t="s">
        <v>37</v>
      </c>
      <c r="C409" s="16">
        <v>42887.495046296295</v>
      </c>
      <c r="D409" s="17" t="s">
        <v>5</v>
      </c>
      <c r="E409" s="17" t="s">
        <v>41</v>
      </c>
      <c r="F409" s="16">
        <v>42893.465671296297</v>
      </c>
      <c r="G409" s="16"/>
      <c r="H409" s="16"/>
      <c r="I409" s="11">
        <v>556</v>
      </c>
      <c r="J409" s="54" t="str">
        <f t="shared" si="18"/>
        <v/>
      </c>
      <c r="K409" t="str">
        <f t="shared" si="19"/>
        <v/>
      </c>
      <c r="L409" t="str">
        <f t="shared" si="20"/>
        <v/>
      </c>
    </row>
    <row r="410" spans="1:12" hidden="1" x14ac:dyDescent="0.2">
      <c r="A410" s="17" t="s">
        <v>120</v>
      </c>
      <c r="B410" s="17" t="s">
        <v>37</v>
      </c>
      <c r="C410" s="16">
        <v>42888.354479166665</v>
      </c>
      <c r="D410" s="17" t="s">
        <v>5</v>
      </c>
      <c r="E410" s="17" t="s">
        <v>40</v>
      </c>
      <c r="F410" s="16">
        <v>42888.354571759257</v>
      </c>
      <c r="G410" s="16"/>
      <c r="H410" s="16"/>
      <c r="I410" s="11">
        <v>558</v>
      </c>
      <c r="J410" s="54" t="str">
        <f t="shared" si="18"/>
        <v/>
      </c>
      <c r="K410" t="str">
        <f t="shared" si="19"/>
        <v/>
      </c>
      <c r="L410" t="str">
        <f t="shared" si="20"/>
        <v/>
      </c>
    </row>
    <row r="411" spans="1:12" hidden="1" x14ac:dyDescent="0.2">
      <c r="A411" s="17" t="s">
        <v>120</v>
      </c>
      <c r="B411" s="17" t="s">
        <v>37</v>
      </c>
      <c r="C411" s="16">
        <v>42888.354479166665</v>
      </c>
      <c r="D411" s="17" t="s">
        <v>5</v>
      </c>
      <c r="E411" s="17" t="s">
        <v>57</v>
      </c>
      <c r="F411" s="16">
        <v>42888.35527777778</v>
      </c>
      <c r="G411" s="16"/>
      <c r="H411" s="16"/>
      <c r="I411" s="11">
        <v>559</v>
      </c>
      <c r="J411" s="54" t="str">
        <f t="shared" si="18"/>
        <v/>
      </c>
      <c r="K411" t="str">
        <f t="shared" si="19"/>
        <v/>
      </c>
      <c r="L411" t="str">
        <f t="shared" si="20"/>
        <v/>
      </c>
    </row>
    <row r="412" spans="1:12" hidden="1" x14ac:dyDescent="0.2">
      <c r="A412" s="17" t="s">
        <v>119</v>
      </c>
      <c r="B412" s="17" t="s">
        <v>37</v>
      </c>
      <c r="C412" s="16">
        <v>42888.379907407405</v>
      </c>
      <c r="D412" s="17" t="s">
        <v>5</v>
      </c>
      <c r="E412" s="17" t="s">
        <v>40</v>
      </c>
      <c r="F412" s="16">
        <v>42888.379930555559</v>
      </c>
      <c r="G412" s="16"/>
      <c r="H412" s="16"/>
      <c r="I412" s="11">
        <v>561</v>
      </c>
      <c r="J412" s="54" t="str">
        <f t="shared" si="18"/>
        <v/>
      </c>
      <c r="K412" t="str">
        <f t="shared" si="19"/>
        <v/>
      </c>
      <c r="L412" t="str">
        <f t="shared" si="20"/>
        <v>NO</v>
      </c>
    </row>
    <row r="413" spans="1:12" x14ac:dyDescent="0.2">
      <c r="A413" s="17" t="s">
        <v>119</v>
      </c>
      <c r="B413" s="17" t="s">
        <v>37</v>
      </c>
      <c r="C413" s="16">
        <v>42888.379907407405</v>
      </c>
      <c r="D413" s="17" t="s">
        <v>5</v>
      </c>
      <c r="E413" s="17" t="s">
        <v>46</v>
      </c>
      <c r="F413" s="16">
        <v>42888.386574074073</v>
      </c>
      <c r="G413" s="16"/>
      <c r="H413" s="16"/>
      <c r="I413" s="11">
        <v>562</v>
      </c>
      <c r="J413" s="54">
        <f t="shared" si="18"/>
        <v>42893.56994212963</v>
      </c>
      <c r="K413" t="str">
        <f t="shared" si="19"/>
        <v>FAS.T2.ETOOLS</v>
      </c>
      <c r="L413" t="str">
        <f t="shared" si="20"/>
        <v>NO</v>
      </c>
    </row>
    <row r="414" spans="1:12" hidden="1" x14ac:dyDescent="0.2">
      <c r="A414" s="17" t="s">
        <v>119</v>
      </c>
      <c r="B414" s="17" t="s">
        <v>37</v>
      </c>
      <c r="C414" s="16">
        <v>42888.379907407405</v>
      </c>
      <c r="D414" s="17" t="s">
        <v>5</v>
      </c>
      <c r="E414" s="17" t="s">
        <v>41</v>
      </c>
      <c r="F414" s="16">
        <v>42893.56994212963</v>
      </c>
      <c r="G414" s="16"/>
      <c r="H414" s="16"/>
      <c r="I414" s="11">
        <v>564</v>
      </c>
      <c r="J414" s="54" t="str">
        <f t="shared" si="18"/>
        <v/>
      </c>
      <c r="K414" t="str">
        <f t="shared" si="19"/>
        <v>FAS.T2.ETOOLS</v>
      </c>
      <c r="L414" t="str">
        <f t="shared" si="20"/>
        <v>NO</v>
      </c>
    </row>
    <row r="415" spans="1:12" hidden="1" x14ac:dyDescent="0.2">
      <c r="A415" s="17" t="s">
        <v>117</v>
      </c>
      <c r="B415" s="17" t="s">
        <v>37</v>
      </c>
      <c r="C415" s="16">
        <v>42888.421400462961</v>
      </c>
      <c r="D415" s="17" t="s">
        <v>5</v>
      </c>
      <c r="E415" s="17" t="s">
        <v>40</v>
      </c>
      <c r="F415" s="16">
        <v>42888.421469907407</v>
      </c>
      <c r="G415" s="16"/>
      <c r="H415" s="16"/>
      <c r="I415" s="11">
        <v>566</v>
      </c>
      <c r="J415" s="54" t="str">
        <f t="shared" si="18"/>
        <v/>
      </c>
      <c r="K415" t="str">
        <f t="shared" si="19"/>
        <v/>
      </c>
      <c r="L415" t="str">
        <f t="shared" si="20"/>
        <v/>
      </c>
    </row>
    <row r="416" spans="1:12" hidden="1" x14ac:dyDescent="0.2">
      <c r="A416" s="17" t="s">
        <v>117</v>
      </c>
      <c r="B416" s="17" t="s">
        <v>37</v>
      </c>
      <c r="C416" s="16">
        <v>42888.421400462961</v>
      </c>
      <c r="D416" s="17" t="s">
        <v>5</v>
      </c>
      <c r="E416" s="17" t="s">
        <v>36</v>
      </c>
      <c r="F416" s="16">
        <v>42888.423715277779</v>
      </c>
      <c r="G416" s="16"/>
      <c r="H416" s="16"/>
      <c r="I416" s="11">
        <v>567</v>
      </c>
      <c r="J416" s="54" t="str">
        <f t="shared" si="18"/>
        <v/>
      </c>
      <c r="K416" t="str">
        <f t="shared" si="19"/>
        <v/>
      </c>
      <c r="L416" t="str">
        <f t="shared" si="20"/>
        <v/>
      </c>
    </row>
    <row r="417" spans="1:12" hidden="1" x14ac:dyDescent="0.2">
      <c r="A417" s="17" t="s">
        <v>116</v>
      </c>
      <c r="B417" s="17" t="s">
        <v>37</v>
      </c>
      <c r="C417" s="16">
        <v>42888.457094907404</v>
      </c>
      <c r="D417" s="17" t="s">
        <v>5</v>
      </c>
      <c r="E417" s="17" t="s">
        <v>40</v>
      </c>
      <c r="F417" s="16">
        <v>42888.457129629627</v>
      </c>
      <c r="G417" s="16">
        <v>42888.46230324074</v>
      </c>
      <c r="H417" s="16"/>
      <c r="I417" s="11">
        <v>569</v>
      </c>
      <c r="J417" s="54" t="str">
        <f t="shared" si="18"/>
        <v/>
      </c>
      <c r="K417" t="str">
        <f t="shared" si="19"/>
        <v/>
      </c>
      <c r="L417" t="str">
        <f t="shared" si="20"/>
        <v/>
      </c>
    </row>
    <row r="418" spans="1:12" hidden="1" x14ac:dyDescent="0.2">
      <c r="A418" s="17" t="s">
        <v>116</v>
      </c>
      <c r="B418" s="17" t="s">
        <v>37</v>
      </c>
      <c r="C418" s="16">
        <v>42888.457094907404</v>
      </c>
      <c r="D418" s="17" t="s">
        <v>5</v>
      </c>
      <c r="E418" s="17" t="s">
        <v>36</v>
      </c>
      <c r="F418" s="16">
        <v>42888.462337962963</v>
      </c>
      <c r="G418" s="16">
        <v>42888.46230324074</v>
      </c>
      <c r="H418" s="16"/>
      <c r="I418" s="11">
        <v>570</v>
      </c>
      <c r="J418" s="54" t="str">
        <f t="shared" si="18"/>
        <v/>
      </c>
      <c r="K418" t="str">
        <f t="shared" si="19"/>
        <v/>
      </c>
      <c r="L418" t="str">
        <f t="shared" si="20"/>
        <v/>
      </c>
    </row>
    <row r="419" spans="1:12" hidden="1" x14ac:dyDescent="0.2">
      <c r="A419" s="17" t="s">
        <v>115</v>
      </c>
      <c r="B419" s="17" t="s">
        <v>37</v>
      </c>
      <c r="C419" s="16">
        <v>42888.605856481481</v>
      </c>
      <c r="D419" s="17" t="s">
        <v>5</v>
      </c>
      <c r="E419" s="17" t="s">
        <v>40</v>
      </c>
      <c r="F419" s="16">
        <v>42888.605949074074</v>
      </c>
      <c r="G419" s="16"/>
      <c r="H419" s="16"/>
      <c r="I419" s="11">
        <v>573</v>
      </c>
      <c r="J419" s="54" t="str">
        <f t="shared" si="18"/>
        <v/>
      </c>
      <c r="K419" t="str">
        <f t="shared" si="19"/>
        <v/>
      </c>
      <c r="L419" t="str">
        <f t="shared" si="20"/>
        <v/>
      </c>
    </row>
    <row r="420" spans="1:12" hidden="1" x14ac:dyDescent="0.2">
      <c r="A420" s="17" t="s">
        <v>115</v>
      </c>
      <c r="B420" s="17" t="s">
        <v>37</v>
      </c>
      <c r="C420" s="16">
        <v>42888.605856481481</v>
      </c>
      <c r="D420" s="17" t="s">
        <v>5</v>
      </c>
      <c r="E420" s="17" t="s">
        <v>46</v>
      </c>
      <c r="F420" s="16">
        <v>42888.620324074072</v>
      </c>
      <c r="G420" s="16"/>
      <c r="H420" s="16"/>
      <c r="I420" s="11">
        <v>574</v>
      </c>
      <c r="J420" s="54">
        <f t="shared" si="18"/>
        <v>42891.676863425928</v>
      </c>
      <c r="K420" t="str">
        <f t="shared" si="19"/>
        <v>FAS.T2.ETOOLS</v>
      </c>
      <c r="L420" t="str">
        <f t="shared" si="20"/>
        <v/>
      </c>
    </row>
    <row r="421" spans="1:12" hidden="1" x14ac:dyDescent="0.2">
      <c r="A421" s="17" t="s">
        <v>115</v>
      </c>
      <c r="B421" s="17" t="s">
        <v>37</v>
      </c>
      <c r="C421" s="16">
        <v>42888.605856481481</v>
      </c>
      <c r="D421" s="17" t="s">
        <v>5</v>
      </c>
      <c r="E421" s="17" t="s">
        <v>36</v>
      </c>
      <c r="F421" s="16">
        <v>42891.676863425928</v>
      </c>
      <c r="G421" s="16"/>
      <c r="H421" s="16"/>
      <c r="I421" s="11">
        <v>576</v>
      </c>
      <c r="J421" s="54" t="str">
        <f t="shared" si="18"/>
        <v/>
      </c>
      <c r="K421" t="str">
        <f t="shared" si="19"/>
        <v>FAS.T2.ETOOLS</v>
      </c>
      <c r="L421" t="str">
        <f t="shared" si="20"/>
        <v/>
      </c>
    </row>
    <row r="422" spans="1:12" hidden="1" x14ac:dyDescent="0.2">
      <c r="A422" s="17" t="s">
        <v>115</v>
      </c>
      <c r="B422" s="17" t="s">
        <v>37</v>
      </c>
      <c r="C422" s="16">
        <v>42888.605856481481</v>
      </c>
      <c r="D422" s="17" t="s">
        <v>5</v>
      </c>
      <c r="E422" s="17" t="s">
        <v>46</v>
      </c>
      <c r="F422" s="16">
        <v>42893.472314814811</v>
      </c>
      <c r="G422" s="16"/>
      <c r="H422" s="16"/>
      <c r="I422" s="11">
        <v>578</v>
      </c>
      <c r="J422" s="54" t="str">
        <f t="shared" si="18"/>
        <v/>
      </c>
      <c r="K422" t="str">
        <f t="shared" si="19"/>
        <v>FAS.T2.ETOOLS</v>
      </c>
      <c r="L422" t="str">
        <f t="shared" si="20"/>
        <v/>
      </c>
    </row>
    <row r="423" spans="1:12" hidden="1" x14ac:dyDescent="0.2">
      <c r="A423" s="17" t="s">
        <v>114</v>
      </c>
      <c r="B423" s="17" t="s">
        <v>37</v>
      </c>
      <c r="C423" s="16">
        <v>42888.630879629629</v>
      </c>
      <c r="D423" s="17" t="s">
        <v>5</v>
      </c>
      <c r="E423" s="17" t="s">
        <v>40</v>
      </c>
      <c r="F423" s="16">
        <v>42888.630949074075</v>
      </c>
      <c r="G423" s="16"/>
      <c r="H423" s="16"/>
      <c r="I423" s="11">
        <v>580</v>
      </c>
      <c r="J423" s="54" t="str">
        <f t="shared" si="18"/>
        <v/>
      </c>
      <c r="K423" t="str">
        <f t="shared" si="19"/>
        <v/>
      </c>
      <c r="L423" t="str">
        <f t="shared" si="20"/>
        <v/>
      </c>
    </row>
    <row r="424" spans="1:12" hidden="1" x14ac:dyDescent="0.2">
      <c r="A424" s="17" t="s">
        <v>114</v>
      </c>
      <c r="B424" s="17" t="s">
        <v>37</v>
      </c>
      <c r="C424" s="16">
        <v>42888.630879629629</v>
      </c>
      <c r="D424" s="17" t="s">
        <v>5</v>
      </c>
      <c r="E424" s="17" t="s">
        <v>36</v>
      </c>
      <c r="F424" s="16">
        <v>42888.636064814818</v>
      </c>
      <c r="G424" s="16"/>
      <c r="H424" s="16"/>
      <c r="I424" s="11">
        <v>581</v>
      </c>
      <c r="J424" s="54" t="str">
        <f t="shared" si="18"/>
        <v/>
      </c>
      <c r="K424" t="str">
        <f t="shared" si="19"/>
        <v/>
      </c>
      <c r="L424" t="str">
        <f t="shared" si="20"/>
        <v/>
      </c>
    </row>
    <row r="425" spans="1:12" hidden="1" x14ac:dyDescent="0.2">
      <c r="A425" s="17" t="s">
        <v>113</v>
      </c>
      <c r="B425" s="17" t="s">
        <v>37</v>
      </c>
      <c r="C425" s="16">
        <v>42888.658321759256</v>
      </c>
      <c r="D425" s="17" t="s">
        <v>5</v>
      </c>
      <c r="E425" s="17" t="s">
        <v>36</v>
      </c>
      <c r="F425" s="16">
        <v>42888.668587962966</v>
      </c>
      <c r="G425" s="16"/>
      <c r="H425" s="16"/>
      <c r="I425" s="11">
        <v>583</v>
      </c>
      <c r="J425" s="54" t="str">
        <f t="shared" si="18"/>
        <v/>
      </c>
      <c r="K425" t="str">
        <f t="shared" si="19"/>
        <v/>
      </c>
      <c r="L425" t="str">
        <f t="shared" si="20"/>
        <v/>
      </c>
    </row>
    <row r="426" spans="1:12" hidden="1" x14ac:dyDescent="0.2">
      <c r="A426" s="17" t="s">
        <v>112</v>
      </c>
      <c r="B426" s="17" t="s">
        <v>37</v>
      </c>
      <c r="C426" s="16">
        <v>42891.319953703707</v>
      </c>
      <c r="D426" s="17" t="s">
        <v>5</v>
      </c>
      <c r="E426" s="17" t="s">
        <v>40</v>
      </c>
      <c r="F426" s="16">
        <v>42891.319965277777</v>
      </c>
      <c r="G426" s="16"/>
      <c r="H426" s="16"/>
      <c r="I426" s="11">
        <v>585</v>
      </c>
      <c r="J426" s="54" t="str">
        <f t="shared" si="18"/>
        <v/>
      </c>
      <c r="K426" t="str">
        <f t="shared" si="19"/>
        <v/>
      </c>
      <c r="L426" t="str">
        <f t="shared" si="20"/>
        <v/>
      </c>
    </row>
    <row r="427" spans="1:12" hidden="1" x14ac:dyDescent="0.2">
      <c r="A427" s="17" t="s">
        <v>112</v>
      </c>
      <c r="B427" s="17" t="s">
        <v>37</v>
      </c>
      <c r="C427" s="16">
        <v>42891.319953703707</v>
      </c>
      <c r="D427" s="17" t="s">
        <v>5</v>
      </c>
      <c r="E427" s="17" t="s">
        <v>57</v>
      </c>
      <c r="F427" s="16">
        <v>42891.323391203703</v>
      </c>
      <c r="G427" s="16"/>
      <c r="H427" s="16"/>
      <c r="I427" s="11">
        <v>586</v>
      </c>
      <c r="J427" s="54" t="str">
        <f t="shared" si="18"/>
        <v/>
      </c>
      <c r="K427" t="str">
        <f t="shared" si="19"/>
        <v/>
      </c>
      <c r="L427" t="str">
        <f t="shared" si="20"/>
        <v/>
      </c>
    </row>
    <row r="428" spans="1:12" hidden="1" x14ac:dyDescent="0.2">
      <c r="A428" s="17" t="s">
        <v>110</v>
      </c>
      <c r="B428" s="17" t="s">
        <v>37</v>
      </c>
      <c r="C428" s="16">
        <v>42891.415185185186</v>
      </c>
      <c r="D428" s="17" t="s">
        <v>5</v>
      </c>
      <c r="E428" s="17" t="s">
        <v>40</v>
      </c>
      <c r="F428" s="16">
        <v>42891.415231481478</v>
      </c>
      <c r="G428" s="16"/>
      <c r="H428" s="16"/>
      <c r="I428" s="11">
        <v>588</v>
      </c>
      <c r="J428" s="54" t="str">
        <f t="shared" si="18"/>
        <v/>
      </c>
      <c r="K428" t="str">
        <f t="shared" si="19"/>
        <v/>
      </c>
      <c r="L428" t="str">
        <f t="shared" si="20"/>
        <v/>
      </c>
    </row>
    <row r="429" spans="1:12" hidden="1" x14ac:dyDescent="0.2">
      <c r="A429" s="17" t="s">
        <v>110</v>
      </c>
      <c r="B429" s="17" t="s">
        <v>37</v>
      </c>
      <c r="C429" s="16">
        <v>42891.415185185186</v>
      </c>
      <c r="D429" s="17" t="s">
        <v>5</v>
      </c>
      <c r="E429" s="17" t="s">
        <v>36</v>
      </c>
      <c r="F429" s="16">
        <v>42891.420925925922</v>
      </c>
      <c r="G429" s="16"/>
      <c r="H429" s="16"/>
      <c r="I429" s="11">
        <v>589</v>
      </c>
      <c r="J429" s="54" t="str">
        <f t="shared" si="18"/>
        <v/>
      </c>
      <c r="K429" t="str">
        <f t="shared" si="19"/>
        <v/>
      </c>
      <c r="L429" t="str">
        <f t="shared" si="20"/>
        <v/>
      </c>
    </row>
    <row r="430" spans="1:12" hidden="1" x14ac:dyDescent="0.2">
      <c r="A430" s="17" t="s">
        <v>110</v>
      </c>
      <c r="B430" s="17" t="s">
        <v>37</v>
      </c>
      <c r="C430" s="16">
        <v>42891.415185185186</v>
      </c>
      <c r="D430" s="17" t="s">
        <v>5</v>
      </c>
      <c r="E430" s="17" t="s">
        <v>46</v>
      </c>
      <c r="F430" s="16">
        <v>42893.318761574075</v>
      </c>
      <c r="G430" s="16"/>
      <c r="H430" s="16"/>
      <c r="I430" s="11">
        <v>591</v>
      </c>
      <c r="J430" s="54" t="str">
        <f t="shared" si="18"/>
        <v/>
      </c>
      <c r="K430" t="str">
        <f t="shared" si="19"/>
        <v>FAS.T2.ETOOLS</v>
      </c>
      <c r="L430" t="str">
        <f t="shared" si="20"/>
        <v/>
      </c>
    </row>
    <row r="431" spans="1:12" hidden="1" x14ac:dyDescent="0.2">
      <c r="A431" s="17" t="s">
        <v>109</v>
      </c>
      <c r="B431" s="17" t="s">
        <v>37</v>
      </c>
      <c r="C431" s="16">
        <v>42891.50503472222</v>
      </c>
      <c r="D431" s="17" t="s">
        <v>5</v>
      </c>
      <c r="E431" s="17" t="s">
        <v>40</v>
      </c>
      <c r="F431" s="16">
        <v>42891.505057870374</v>
      </c>
      <c r="G431" s="16"/>
      <c r="H431" s="16"/>
      <c r="I431" s="11">
        <v>593</v>
      </c>
      <c r="J431" s="54" t="str">
        <f t="shared" si="18"/>
        <v/>
      </c>
      <c r="K431" t="str">
        <f t="shared" si="19"/>
        <v/>
      </c>
      <c r="L431" t="str">
        <f t="shared" si="20"/>
        <v/>
      </c>
    </row>
    <row r="432" spans="1:12" hidden="1" x14ac:dyDescent="0.2">
      <c r="A432" s="17" t="s">
        <v>109</v>
      </c>
      <c r="B432" s="17" t="s">
        <v>37</v>
      </c>
      <c r="C432" s="16">
        <v>42891.50503472222</v>
      </c>
      <c r="D432" s="17" t="s">
        <v>5</v>
      </c>
      <c r="E432" s="17" t="s">
        <v>36</v>
      </c>
      <c r="F432" s="16">
        <v>42891.534548611111</v>
      </c>
      <c r="G432" s="16"/>
      <c r="H432" s="16"/>
      <c r="I432" s="11">
        <v>594</v>
      </c>
      <c r="J432" s="54" t="str">
        <f t="shared" si="18"/>
        <v/>
      </c>
      <c r="K432" t="str">
        <f t="shared" si="19"/>
        <v/>
      </c>
      <c r="L432" t="str">
        <f t="shared" si="20"/>
        <v/>
      </c>
    </row>
    <row r="433" spans="1:12" hidden="1" x14ac:dyDescent="0.2">
      <c r="A433" s="17" t="s">
        <v>109</v>
      </c>
      <c r="B433" s="17" t="s">
        <v>37</v>
      </c>
      <c r="C433" s="16">
        <v>42891.50503472222</v>
      </c>
      <c r="D433" s="17" t="s">
        <v>5</v>
      </c>
      <c r="E433" s="17" t="s">
        <v>46</v>
      </c>
      <c r="F433" s="16">
        <v>42891.554837962962</v>
      </c>
      <c r="G433" s="16"/>
      <c r="H433" s="16"/>
      <c r="I433" s="11">
        <v>596</v>
      </c>
      <c r="J433" s="54" t="str">
        <f t="shared" si="18"/>
        <v/>
      </c>
      <c r="K433" t="str">
        <f t="shared" si="19"/>
        <v>FAS.T2.ETOOLS</v>
      </c>
      <c r="L433" t="str">
        <f t="shared" si="20"/>
        <v/>
      </c>
    </row>
    <row r="434" spans="1:12" hidden="1" x14ac:dyDescent="0.2">
      <c r="A434" s="17" t="s">
        <v>108</v>
      </c>
      <c r="B434" s="17" t="s">
        <v>37</v>
      </c>
      <c r="C434" s="16">
        <v>42891.516655092593</v>
      </c>
      <c r="D434" s="17" t="s">
        <v>5</v>
      </c>
      <c r="E434" s="17" t="s">
        <v>40</v>
      </c>
      <c r="F434" s="16">
        <v>42891.51666666667</v>
      </c>
      <c r="G434" s="16"/>
      <c r="H434" s="16"/>
      <c r="I434" s="11">
        <v>598</v>
      </c>
      <c r="J434" s="54" t="str">
        <f t="shared" si="18"/>
        <v/>
      </c>
      <c r="K434" t="str">
        <f t="shared" si="19"/>
        <v/>
      </c>
      <c r="L434" t="str">
        <f t="shared" si="20"/>
        <v/>
      </c>
    </row>
    <row r="435" spans="1:12" hidden="1" x14ac:dyDescent="0.2">
      <c r="A435" s="17" t="s">
        <v>108</v>
      </c>
      <c r="B435" s="17" t="s">
        <v>37</v>
      </c>
      <c r="C435" s="16">
        <v>42891.516655092593</v>
      </c>
      <c r="D435" s="17" t="s">
        <v>5</v>
      </c>
      <c r="E435" s="17" t="s">
        <v>36</v>
      </c>
      <c r="F435" s="16">
        <v>42891.518148148149</v>
      </c>
      <c r="G435" s="16"/>
      <c r="H435" s="16"/>
      <c r="I435" s="11">
        <v>599</v>
      </c>
      <c r="J435" s="54" t="str">
        <f t="shared" si="18"/>
        <v/>
      </c>
      <c r="K435" t="str">
        <f t="shared" si="19"/>
        <v/>
      </c>
      <c r="L435" t="str">
        <f t="shared" si="20"/>
        <v/>
      </c>
    </row>
    <row r="436" spans="1:12" hidden="1" x14ac:dyDescent="0.2">
      <c r="A436" s="17" t="s">
        <v>108</v>
      </c>
      <c r="B436" s="17" t="s">
        <v>37</v>
      </c>
      <c r="C436" s="16">
        <v>42891.516655092593</v>
      </c>
      <c r="D436" s="17" t="s">
        <v>5</v>
      </c>
      <c r="E436" s="17" t="s">
        <v>46</v>
      </c>
      <c r="F436" s="16">
        <v>42891.54115740741</v>
      </c>
      <c r="G436" s="16"/>
      <c r="H436" s="16"/>
      <c r="I436" s="11">
        <v>601</v>
      </c>
      <c r="J436" s="54" t="str">
        <f t="shared" si="18"/>
        <v/>
      </c>
      <c r="K436" t="str">
        <f t="shared" si="19"/>
        <v>FAS.T2.ETOOLS</v>
      </c>
      <c r="L436" t="str">
        <f t="shared" si="20"/>
        <v/>
      </c>
    </row>
    <row r="437" spans="1:12" hidden="1" x14ac:dyDescent="0.2">
      <c r="A437" s="17" t="s">
        <v>106</v>
      </c>
      <c r="B437" s="17" t="s">
        <v>37</v>
      </c>
      <c r="C437" s="16">
        <v>42891.582997685182</v>
      </c>
      <c r="D437" s="17" t="s">
        <v>5</v>
      </c>
      <c r="E437" s="17" t="s">
        <v>40</v>
      </c>
      <c r="F437" s="16">
        <v>42891.583090277774</v>
      </c>
      <c r="G437" s="16"/>
      <c r="H437" s="16"/>
      <c r="I437" s="11">
        <v>603</v>
      </c>
      <c r="J437" s="54" t="str">
        <f t="shared" si="18"/>
        <v/>
      </c>
      <c r="K437" t="str">
        <f t="shared" si="19"/>
        <v/>
      </c>
      <c r="L437" t="str">
        <f t="shared" si="20"/>
        <v/>
      </c>
    </row>
    <row r="438" spans="1:12" hidden="1" x14ac:dyDescent="0.2">
      <c r="A438" s="17" t="s">
        <v>106</v>
      </c>
      <c r="B438" s="17" t="s">
        <v>37</v>
      </c>
      <c r="C438" s="16">
        <v>42891.582997685182</v>
      </c>
      <c r="D438" s="17" t="s">
        <v>5</v>
      </c>
      <c r="E438" s="17" t="s">
        <v>36</v>
      </c>
      <c r="F438" s="16">
        <v>42891.600902777776</v>
      </c>
      <c r="G438" s="16"/>
      <c r="H438" s="16"/>
      <c r="I438" s="11">
        <v>604</v>
      </c>
      <c r="J438" s="54" t="str">
        <f t="shared" si="18"/>
        <v/>
      </c>
      <c r="K438" t="str">
        <f t="shared" si="19"/>
        <v/>
      </c>
      <c r="L438" t="str">
        <f t="shared" si="20"/>
        <v/>
      </c>
    </row>
    <row r="439" spans="1:12" hidden="1" x14ac:dyDescent="0.2">
      <c r="A439" s="17" t="s">
        <v>105</v>
      </c>
      <c r="B439" s="17" t="s">
        <v>37</v>
      </c>
      <c r="C439" s="16">
        <v>42891.645914351851</v>
      </c>
      <c r="D439" s="17" t="s">
        <v>5</v>
      </c>
      <c r="E439" s="17" t="s">
        <v>40</v>
      </c>
      <c r="F439" s="16">
        <v>42891.645949074074</v>
      </c>
      <c r="G439" s="16"/>
      <c r="H439" s="16"/>
      <c r="I439" s="11">
        <v>606</v>
      </c>
      <c r="J439" s="54" t="str">
        <f t="shared" si="18"/>
        <v/>
      </c>
      <c r="K439" t="str">
        <f t="shared" si="19"/>
        <v/>
      </c>
      <c r="L439" t="str">
        <f t="shared" si="20"/>
        <v/>
      </c>
    </row>
    <row r="440" spans="1:12" hidden="1" x14ac:dyDescent="0.2">
      <c r="A440" s="17" t="s">
        <v>105</v>
      </c>
      <c r="B440" s="17" t="s">
        <v>37</v>
      </c>
      <c r="C440" s="16">
        <v>42891.645914351851</v>
      </c>
      <c r="D440" s="17" t="s">
        <v>5</v>
      </c>
      <c r="E440" s="17" t="s">
        <v>36</v>
      </c>
      <c r="F440" s="16">
        <v>42891.646886574075</v>
      </c>
      <c r="G440" s="16"/>
      <c r="H440" s="16"/>
      <c r="I440" s="11">
        <v>607</v>
      </c>
      <c r="J440" s="54" t="str">
        <f t="shared" si="18"/>
        <v/>
      </c>
      <c r="K440" t="str">
        <f t="shared" si="19"/>
        <v/>
      </c>
      <c r="L440" t="str">
        <f t="shared" si="20"/>
        <v/>
      </c>
    </row>
    <row r="441" spans="1:12" hidden="1" x14ac:dyDescent="0.2">
      <c r="A441" s="17" t="s">
        <v>105</v>
      </c>
      <c r="B441" s="17" t="s">
        <v>37</v>
      </c>
      <c r="C441" s="16">
        <v>42891.645914351851</v>
      </c>
      <c r="D441" s="17" t="s">
        <v>5</v>
      </c>
      <c r="E441" s="17" t="s">
        <v>41</v>
      </c>
      <c r="F441" s="16">
        <v>42892.443807870368</v>
      </c>
      <c r="G441" s="16"/>
      <c r="H441" s="16"/>
      <c r="I441" s="11">
        <v>609</v>
      </c>
      <c r="J441" s="54" t="str">
        <f t="shared" si="18"/>
        <v/>
      </c>
      <c r="K441" t="str">
        <f t="shared" si="19"/>
        <v/>
      </c>
      <c r="L441" t="str">
        <f t="shared" si="20"/>
        <v/>
      </c>
    </row>
    <row r="442" spans="1:12" hidden="1" x14ac:dyDescent="0.2">
      <c r="A442" s="17" t="s">
        <v>104</v>
      </c>
      <c r="B442" s="17" t="s">
        <v>37</v>
      </c>
      <c r="C442" s="16">
        <v>42891.673437500001</v>
      </c>
      <c r="D442" s="17" t="s">
        <v>5</v>
      </c>
      <c r="E442" s="17" t="s">
        <v>40</v>
      </c>
      <c r="F442" s="16">
        <v>42891.673460648148</v>
      </c>
      <c r="G442" s="16"/>
      <c r="H442" s="16"/>
      <c r="I442" s="11">
        <v>611</v>
      </c>
      <c r="J442" s="54" t="str">
        <f t="shared" si="18"/>
        <v/>
      </c>
      <c r="K442" t="str">
        <f t="shared" si="19"/>
        <v/>
      </c>
      <c r="L442" t="str">
        <f t="shared" si="20"/>
        <v/>
      </c>
    </row>
    <row r="443" spans="1:12" hidden="1" x14ac:dyDescent="0.2">
      <c r="A443" s="17" t="s">
        <v>104</v>
      </c>
      <c r="B443" s="17" t="s">
        <v>37</v>
      </c>
      <c r="C443" s="16">
        <v>42891.673437500001</v>
      </c>
      <c r="D443" s="17" t="s">
        <v>5</v>
      </c>
      <c r="E443" s="17" t="s">
        <v>36</v>
      </c>
      <c r="F443" s="16">
        <v>42891.684814814813</v>
      </c>
      <c r="G443" s="16"/>
      <c r="H443" s="16"/>
      <c r="I443" s="11">
        <v>612</v>
      </c>
      <c r="J443" s="54" t="str">
        <f t="shared" si="18"/>
        <v/>
      </c>
      <c r="K443" t="str">
        <f t="shared" si="19"/>
        <v/>
      </c>
      <c r="L443" t="str">
        <f t="shared" si="20"/>
        <v/>
      </c>
    </row>
    <row r="444" spans="1:12" hidden="1" x14ac:dyDescent="0.2">
      <c r="A444" s="17" t="s">
        <v>103</v>
      </c>
      <c r="B444" s="17" t="s">
        <v>37</v>
      </c>
      <c r="C444" s="16">
        <v>42891.69189814815</v>
      </c>
      <c r="D444" s="17" t="s">
        <v>5</v>
      </c>
      <c r="E444" s="17" t="s">
        <v>40</v>
      </c>
      <c r="F444" s="16">
        <v>42891.692002314812</v>
      </c>
      <c r="G444" s="16"/>
      <c r="H444" s="16"/>
      <c r="I444" s="11">
        <v>614</v>
      </c>
      <c r="J444" s="54" t="str">
        <f t="shared" si="18"/>
        <v/>
      </c>
      <c r="K444" t="str">
        <f t="shared" si="19"/>
        <v/>
      </c>
      <c r="L444" t="str">
        <f t="shared" si="20"/>
        <v/>
      </c>
    </row>
    <row r="445" spans="1:12" hidden="1" x14ac:dyDescent="0.2">
      <c r="A445" s="17" t="s">
        <v>103</v>
      </c>
      <c r="B445" s="17" t="s">
        <v>37</v>
      </c>
      <c r="C445" s="16">
        <v>42891.69189814815</v>
      </c>
      <c r="D445" s="17" t="s">
        <v>5</v>
      </c>
      <c r="E445" s="17" t="s">
        <v>41</v>
      </c>
      <c r="F445" s="16">
        <v>42891.695405092592</v>
      </c>
      <c r="G445" s="16"/>
      <c r="H445" s="16"/>
      <c r="I445" s="11">
        <v>615</v>
      </c>
      <c r="J445" s="54" t="str">
        <f t="shared" si="18"/>
        <v/>
      </c>
      <c r="K445" t="str">
        <f t="shared" si="19"/>
        <v/>
      </c>
      <c r="L445" t="str">
        <f t="shared" si="20"/>
        <v/>
      </c>
    </row>
    <row r="446" spans="1:12" hidden="1" x14ac:dyDescent="0.2">
      <c r="A446" s="17" t="s">
        <v>102</v>
      </c>
      <c r="B446" s="17" t="s">
        <v>37</v>
      </c>
      <c r="C446" s="16">
        <v>42892.311296296299</v>
      </c>
      <c r="D446" s="17" t="s">
        <v>5</v>
      </c>
      <c r="E446" s="17" t="s">
        <v>40</v>
      </c>
      <c r="F446" s="16">
        <v>42892.311354166668</v>
      </c>
      <c r="G446" s="16"/>
      <c r="H446" s="16"/>
      <c r="I446" s="11">
        <v>617</v>
      </c>
      <c r="J446" s="54" t="str">
        <f t="shared" si="18"/>
        <v/>
      </c>
      <c r="K446" t="str">
        <f t="shared" si="19"/>
        <v/>
      </c>
      <c r="L446" t="str">
        <f t="shared" si="20"/>
        <v/>
      </c>
    </row>
    <row r="447" spans="1:12" hidden="1" x14ac:dyDescent="0.2">
      <c r="A447" s="17" t="s">
        <v>102</v>
      </c>
      <c r="B447" s="17" t="s">
        <v>37</v>
      </c>
      <c r="C447" s="16">
        <v>42892.311296296299</v>
      </c>
      <c r="D447" s="17" t="s">
        <v>5</v>
      </c>
      <c r="E447" s="17" t="s">
        <v>36</v>
      </c>
      <c r="F447" s="16">
        <v>42892.312534722223</v>
      </c>
      <c r="G447" s="16"/>
      <c r="H447" s="16"/>
      <c r="I447" s="11">
        <v>618</v>
      </c>
      <c r="J447" s="54" t="str">
        <f t="shared" si="18"/>
        <v/>
      </c>
      <c r="K447" t="str">
        <f t="shared" si="19"/>
        <v/>
      </c>
      <c r="L447" t="str">
        <f t="shared" si="20"/>
        <v/>
      </c>
    </row>
    <row r="448" spans="1:12" hidden="1" x14ac:dyDescent="0.2">
      <c r="A448" s="17" t="s">
        <v>100</v>
      </c>
      <c r="B448" s="17" t="s">
        <v>37</v>
      </c>
      <c r="C448" s="16">
        <v>42892.370578703703</v>
      </c>
      <c r="D448" s="17" t="s">
        <v>5</v>
      </c>
      <c r="E448" s="17" t="s">
        <v>40</v>
      </c>
      <c r="F448" s="16">
        <v>42892.370613425926</v>
      </c>
      <c r="G448" s="16"/>
      <c r="H448" s="16"/>
      <c r="I448" s="11">
        <v>620</v>
      </c>
      <c r="J448" s="54" t="str">
        <f t="shared" si="18"/>
        <v/>
      </c>
      <c r="K448" t="str">
        <f t="shared" si="19"/>
        <v/>
      </c>
      <c r="L448" t="str">
        <f t="shared" si="20"/>
        <v/>
      </c>
    </row>
    <row r="449" spans="1:12" hidden="1" x14ac:dyDescent="0.2">
      <c r="A449" s="17" t="s">
        <v>100</v>
      </c>
      <c r="B449" s="17" t="s">
        <v>37</v>
      </c>
      <c r="C449" s="16">
        <v>42892.370578703703</v>
      </c>
      <c r="D449" s="17" t="s">
        <v>5</v>
      </c>
      <c r="E449" s="17" t="s">
        <v>57</v>
      </c>
      <c r="F449" s="16">
        <v>42892.371759259258</v>
      </c>
      <c r="G449" s="16"/>
      <c r="H449" s="16"/>
      <c r="I449" s="11">
        <v>621</v>
      </c>
      <c r="J449" s="54" t="str">
        <f t="shared" si="18"/>
        <v/>
      </c>
      <c r="K449" t="str">
        <f t="shared" si="19"/>
        <v/>
      </c>
      <c r="L449" t="str">
        <f t="shared" si="20"/>
        <v/>
      </c>
    </row>
    <row r="450" spans="1:12" hidden="1" x14ac:dyDescent="0.2">
      <c r="A450" s="17" t="s">
        <v>100</v>
      </c>
      <c r="B450" s="17" t="s">
        <v>37</v>
      </c>
      <c r="C450" s="16">
        <v>42892.370578703703</v>
      </c>
      <c r="D450" s="17" t="s">
        <v>5</v>
      </c>
      <c r="E450" s="17" t="s">
        <v>99</v>
      </c>
      <c r="F450" s="16">
        <v>42892.512719907405</v>
      </c>
      <c r="G450" s="16"/>
      <c r="H450" s="16"/>
      <c r="I450" s="11">
        <v>622</v>
      </c>
      <c r="J450" s="54" t="str">
        <f t="shared" ref="J450:J513" si="21">IF(AND(A450=A451,E450="FAS.T2.ETOOLS",E451&lt;&gt;"FAS.T2.ETOOLS"),F451, "")</f>
        <v/>
      </c>
      <c r="K450" t="str">
        <f t="shared" ref="K450:K513" si="22">IF(OR(AND(A450=A449, E450="FAS.T2.ETOOLS"),AND(A450=A449, K449="FAS.T2.ETOOLS")), "FAS.T2.ETOOLS", "")</f>
        <v/>
      </c>
      <c r="L450" t="str">
        <f t="shared" ref="L450:L513" si="23">IF(AND(A450&lt;&gt;A451, E450&lt;&gt;"FAS.T2.ETOOLS", K450="FAS.T2.ETOOLS"), "NO", IF(AND(A450=A451,L451="NO"), "NO", ""))</f>
        <v/>
      </c>
    </row>
    <row r="451" spans="1:12" hidden="1" x14ac:dyDescent="0.2">
      <c r="A451" s="17" t="s">
        <v>98</v>
      </c>
      <c r="B451" s="17" t="s">
        <v>37</v>
      </c>
      <c r="C451" s="16">
        <v>42892.461145833331</v>
      </c>
      <c r="D451" s="17" t="s">
        <v>5</v>
      </c>
      <c r="E451" s="17" t="s">
        <v>40</v>
      </c>
      <c r="F451" s="16">
        <v>42892.461215277777</v>
      </c>
      <c r="G451" s="16"/>
      <c r="H451" s="16"/>
      <c r="I451" s="11">
        <v>624</v>
      </c>
      <c r="J451" s="54" t="str">
        <f t="shared" si="21"/>
        <v/>
      </c>
      <c r="K451" t="str">
        <f t="shared" si="22"/>
        <v/>
      </c>
      <c r="L451" t="str">
        <f t="shared" si="23"/>
        <v/>
      </c>
    </row>
    <row r="452" spans="1:12" hidden="1" x14ac:dyDescent="0.2">
      <c r="A452" s="17" t="s">
        <v>98</v>
      </c>
      <c r="B452" s="17" t="s">
        <v>37</v>
      </c>
      <c r="C452" s="16">
        <v>42892.461145833331</v>
      </c>
      <c r="D452" s="17" t="s">
        <v>5</v>
      </c>
      <c r="E452" s="17" t="s">
        <v>36</v>
      </c>
      <c r="F452" s="16">
        <v>42892.471412037034</v>
      </c>
      <c r="G452" s="16"/>
      <c r="H452" s="16"/>
      <c r="I452" s="11">
        <v>625</v>
      </c>
      <c r="J452" s="54" t="str">
        <f t="shared" si="21"/>
        <v/>
      </c>
      <c r="K452" t="str">
        <f t="shared" si="22"/>
        <v/>
      </c>
      <c r="L452" t="str">
        <f t="shared" si="23"/>
        <v/>
      </c>
    </row>
    <row r="453" spans="1:12" hidden="1" x14ac:dyDescent="0.2">
      <c r="A453" s="17" t="s">
        <v>97</v>
      </c>
      <c r="B453" s="17" t="s">
        <v>37</v>
      </c>
      <c r="C453" s="16">
        <v>42892.549131944441</v>
      </c>
      <c r="D453" s="17" t="s">
        <v>5</v>
      </c>
      <c r="E453" s="17" t="s">
        <v>40</v>
      </c>
      <c r="F453" s="16">
        <v>42892.549247685187</v>
      </c>
      <c r="G453" s="16"/>
      <c r="H453" s="16"/>
      <c r="I453" s="11">
        <v>627</v>
      </c>
      <c r="J453" s="54" t="str">
        <f t="shared" si="21"/>
        <v/>
      </c>
      <c r="K453" t="str">
        <f t="shared" si="22"/>
        <v/>
      </c>
      <c r="L453" t="str">
        <f t="shared" si="23"/>
        <v/>
      </c>
    </row>
    <row r="454" spans="1:12" hidden="1" x14ac:dyDescent="0.2">
      <c r="A454" s="17" t="s">
        <v>97</v>
      </c>
      <c r="B454" s="17" t="s">
        <v>37</v>
      </c>
      <c r="C454" s="16">
        <v>42892.549131944441</v>
      </c>
      <c r="D454" s="17" t="s">
        <v>5</v>
      </c>
      <c r="E454" s="17" t="s">
        <v>36</v>
      </c>
      <c r="F454" s="16">
        <v>42892.571157407408</v>
      </c>
      <c r="G454" s="16"/>
      <c r="H454" s="16"/>
      <c r="I454" s="11">
        <v>628</v>
      </c>
      <c r="J454" s="54" t="str">
        <f t="shared" si="21"/>
        <v/>
      </c>
      <c r="K454" t="str">
        <f t="shared" si="22"/>
        <v/>
      </c>
      <c r="L454" t="str">
        <f t="shared" si="23"/>
        <v/>
      </c>
    </row>
    <row r="455" spans="1:12" hidden="1" x14ac:dyDescent="0.2">
      <c r="A455" s="17" t="s">
        <v>96</v>
      </c>
      <c r="B455" s="17" t="s">
        <v>37</v>
      </c>
      <c r="C455" s="16">
        <v>42892.550891203704</v>
      </c>
      <c r="D455" s="17" t="s">
        <v>5</v>
      </c>
      <c r="E455" s="17" t="s">
        <v>40</v>
      </c>
      <c r="F455" s="16">
        <v>42892.550995370373</v>
      </c>
      <c r="G455" s="16"/>
      <c r="H455" s="16"/>
      <c r="I455" s="11">
        <v>630</v>
      </c>
      <c r="J455" s="54" t="str">
        <f t="shared" si="21"/>
        <v/>
      </c>
      <c r="K455" t="str">
        <f t="shared" si="22"/>
        <v/>
      </c>
      <c r="L455" t="str">
        <f t="shared" si="23"/>
        <v/>
      </c>
    </row>
    <row r="456" spans="1:12" hidden="1" x14ac:dyDescent="0.2">
      <c r="A456" s="17" t="s">
        <v>96</v>
      </c>
      <c r="B456" s="17" t="s">
        <v>37</v>
      </c>
      <c r="C456" s="16">
        <v>42892.550891203704</v>
      </c>
      <c r="D456" s="17" t="s">
        <v>5</v>
      </c>
      <c r="E456" s="17" t="s">
        <v>46</v>
      </c>
      <c r="F456" s="16">
        <v>42892.554259259261</v>
      </c>
      <c r="G456" s="16"/>
      <c r="H456" s="16"/>
      <c r="I456" s="11">
        <v>631</v>
      </c>
      <c r="J456" s="54" t="str">
        <f t="shared" si="21"/>
        <v/>
      </c>
      <c r="K456" t="str">
        <f t="shared" si="22"/>
        <v>FAS.T2.ETOOLS</v>
      </c>
      <c r="L456" t="str">
        <f t="shared" si="23"/>
        <v/>
      </c>
    </row>
    <row r="457" spans="1:12" hidden="1" x14ac:dyDescent="0.2">
      <c r="A457" s="17" t="s">
        <v>95</v>
      </c>
      <c r="B457" s="17" t="s">
        <v>37</v>
      </c>
      <c r="C457" s="16">
        <v>42892.603564814817</v>
      </c>
      <c r="D457" s="17" t="s">
        <v>5</v>
      </c>
      <c r="E457" s="17" t="s">
        <v>40</v>
      </c>
      <c r="F457" s="16">
        <v>42892.603576388887</v>
      </c>
      <c r="G457" s="16"/>
      <c r="H457" s="16"/>
      <c r="I457" s="11">
        <v>633</v>
      </c>
      <c r="J457" s="54" t="str">
        <f t="shared" si="21"/>
        <v/>
      </c>
      <c r="K457" t="str">
        <f t="shared" si="22"/>
        <v/>
      </c>
      <c r="L457" t="str">
        <f t="shared" si="23"/>
        <v/>
      </c>
    </row>
    <row r="458" spans="1:12" hidden="1" x14ac:dyDescent="0.2">
      <c r="A458" s="17" t="s">
        <v>95</v>
      </c>
      <c r="B458" s="17" t="s">
        <v>37</v>
      </c>
      <c r="C458" s="16">
        <v>42892.603564814817</v>
      </c>
      <c r="D458" s="17" t="s">
        <v>5</v>
      </c>
      <c r="E458" s="17" t="s">
        <v>36</v>
      </c>
      <c r="F458" s="16">
        <v>42892.609791666669</v>
      </c>
      <c r="G458" s="16"/>
      <c r="H458" s="16"/>
      <c r="I458" s="11">
        <v>634</v>
      </c>
      <c r="J458" s="54" t="str">
        <f t="shared" si="21"/>
        <v/>
      </c>
      <c r="K458" t="str">
        <f t="shared" si="22"/>
        <v/>
      </c>
      <c r="L458" t="str">
        <f t="shared" si="23"/>
        <v/>
      </c>
    </row>
    <row r="459" spans="1:12" hidden="1" x14ac:dyDescent="0.2">
      <c r="A459" s="17" t="s">
        <v>94</v>
      </c>
      <c r="B459" s="17" t="s">
        <v>37</v>
      </c>
      <c r="C459" s="16">
        <v>42893.352280092593</v>
      </c>
      <c r="D459" s="17" t="s">
        <v>5</v>
      </c>
      <c r="E459" s="17" t="s">
        <v>40</v>
      </c>
      <c r="F459" s="16">
        <v>42893.352314814816</v>
      </c>
      <c r="G459" s="16"/>
      <c r="H459" s="16"/>
      <c r="I459" s="11">
        <v>636</v>
      </c>
      <c r="J459" s="54" t="str">
        <f t="shared" si="21"/>
        <v/>
      </c>
      <c r="K459" t="str">
        <f t="shared" si="22"/>
        <v/>
      </c>
      <c r="L459" t="str">
        <f t="shared" si="23"/>
        <v/>
      </c>
    </row>
    <row r="460" spans="1:12" hidden="1" x14ac:dyDescent="0.2">
      <c r="A460" s="17" t="s">
        <v>94</v>
      </c>
      <c r="B460" s="17" t="s">
        <v>37</v>
      </c>
      <c r="C460" s="16">
        <v>42893.352280092593</v>
      </c>
      <c r="D460" s="17" t="s">
        <v>5</v>
      </c>
      <c r="E460" s="17" t="s">
        <v>36</v>
      </c>
      <c r="F460" s="16">
        <v>42893.353125000001</v>
      </c>
      <c r="G460" s="16"/>
      <c r="H460" s="16"/>
      <c r="I460" s="11">
        <v>637</v>
      </c>
      <c r="J460" s="54" t="str">
        <f t="shared" si="21"/>
        <v/>
      </c>
      <c r="K460" t="str">
        <f t="shared" si="22"/>
        <v/>
      </c>
      <c r="L460" t="str">
        <f t="shared" si="23"/>
        <v/>
      </c>
    </row>
    <row r="461" spans="1:12" hidden="1" x14ac:dyDescent="0.2">
      <c r="A461" s="17" t="s">
        <v>94</v>
      </c>
      <c r="B461" s="17" t="s">
        <v>37</v>
      </c>
      <c r="C461" s="16">
        <v>42893.352280092593</v>
      </c>
      <c r="D461" s="17" t="s">
        <v>5</v>
      </c>
      <c r="E461" s="17" t="s">
        <v>57</v>
      </c>
      <c r="F461" s="16">
        <v>42893.462638888886</v>
      </c>
      <c r="G461" s="16"/>
      <c r="H461" s="16"/>
      <c r="I461" s="11">
        <v>639</v>
      </c>
      <c r="J461" s="54" t="str">
        <f t="shared" si="21"/>
        <v/>
      </c>
      <c r="K461" t="str">
        <f t="shared" si="22"/>
        <v/>
      </c>
      <c r="L461" t="str">
        <f t="shared" si="23"/>
        <v/>
      </c>
    </row>
    <row r="462" spans="1:12" hidden="1" x14ac:dyDescent="0.2">
      <c r="A462" s="17" t="s">
        <v>93</v>
      </c>
      <c r="B462" s="17" t="s">
        <v>37</v>
      </c>
      <c r="C462" s="16">
        <v>42893.357627314814</v>
      </c>
      <c r="D462" s="17" t="s">
        <v>5</v>
      </c>
      <c r="E462" s="17" t="s">
        <v>40</v>
      </c>
      <c r="F462" s="16">
        <v>42893.357685185183</v>
      </c>
      <c r="G462" s="16"/>
      <c r="H462" s="16"/>
      <c r="I462" s="11">
        <v>640</v>
      </c>
      <c r="J462" s="54" t="str">
        <f t="shared" si="21"/>
        <v/>
      </c>
      <c r="K462" t="str">
        <f t="shared" si="22"/>
        <v/>
      </c>
      <c r="L462" t="str">
        <f t="shared" si="23"/>
        <v/>
      </c>
    </row>
    <row r="463" spans="1:12" hidden="1" x14ac:dyDescent="0.2">
      <c r="A463" s="17" t="s">
        <v>93</v>
      </c>
      <c r="B463" s="17" t="s">
        <v>37</v>
      </c>
      <c r="C463" s="16">
        <v>42893.357627314814</v>
      </c>
      <c r="D463" s="17" t="s">
        <v>5</v>
      </c>
      <c r="E463" s="17" t="s">
        <v>46</v>
      </c>
      <c r="F463" s="16">
        <v>42893.360891203702</v>
      </c>
      <c r="G463" s="16"/>
      <c r="H463" s="16"/>
      <c r="I463" s="11">
        <v>641</v>
      </c>
      <c r="J463" s="54" t="str">
        <f t="shared" si="21"/>
        <v/>
      </c>
      <c r="K463" t="str">
        <f t="shared" si="22"/>
        <v>FAS.T2.ETOOLS</v>
      </c>
      <c r="L463" t="str">
        <f t="shared" si="23"/>
        <v/>
      </c>
    </row>
    <row r="464" spans="1:12" hidden="1" x14ac:dyDescent="0.2">
      <c r="A464" s="17" t="s">
        <v>91</v>
      </c>
      <c r="B464" s="17" t="s">
        <v>37</v>
      </c>
      <c r="C464" s="16">
        <v>42893.422708333332</v>
      </c>
      <c r="D464" s="17" t="s">
        <v>5</v>
      </c>
      <c r="E464" s="17" t="s">
        <v>40</v>
      </c>
      <c r="F464" s="16">
        <v>42893.422731481478</v>
      </c>
      <c r="G464" s="16"/>
      <c r="H464" s="16"/>
      <c r="I464" s="11">
        <v>643</v>
      </c>
      <c r="J464" s="54" t="str">
        <f t="shared" si="21"/>
        <v/>
      </c>
      <c r="K464" t="str">
        <f t="shared" si="22"/>
        <v/>
      </c>
      <c r="L464" t="str">
        <f t="shared" si="23"/>
        <v/>
      </c>
    </row>
    <row r="465" spans="1:12" hidden="1" x14ac:dyDescent="0.2">
      <c r="A465" s="17" t="s">
        <v>91</v>
      </c>
      <c r="B465" s="17" t="s">
        <v>37</v>
      </c>
      <c r="C465" s="16">
        <v>42893.422708333332</v>
      </c>
      <c r="D465" s="17" t="s">
        <v>5</v>
      </c>
      <c r="E465" s="17" t="s">
        <v>36</v>
      </c>
      <c r="F465" s="16">
        <v>42893.42628472222</v>
      </c>
      <c r="G465" s="16"/>
      <c r="H465" s="16"/>
      <c r="I465" s="11">
        <v>644</v>
      </c>
      <c r="J465" s="54" t="str">
        <f t="shared" si="21"/>
        <v/>
      </c>
      <c r="K465" t="str">
        <f t="shared" si="22"/>
        <v/>
      </c>
      <c r="L465" t="str">
        <f t="shared" si="23"/>
        <v/>
      </c>
    </row>
    <row r="466" spans="1:12" hidden="1" x14ac:dyDescent="0.2">
      <c r="A466" s="17" t="s">
        <v>91</v>
      </c>
      <c r="B466" s="17" t="s">
        <v>37</v>
      </c>
      <c r="C466" s="16">
        <v>42893.422708333332</v>
      </c>
      <c r="D466" s="17" t="s">
        <v>5</v>
      </c>
      <c r="E466" s="17" t="s">
        <v>46</v>
      </c>
      <c r="F466" s="16">
        <v>42893.429513888892</v>
      </c>
      <c r="G466" s="16"/>
      <c r="H466" s="16"/>
      <c r="I466" s="11">
        <v>646</v>
      </c>
      <c r="J466" s="54" t="str">
        <f t="shared" si="21"/>
        <v/>
      </c>
      <c r="K466" t="str">
        <f t="shared" si="22"/>
        <v>FAS.T2.ETOOLS</v>
      </c>
      <c r="L466" t="str">
        <f t="shared" si="23"/>
        <v/>
      </c>
    </row>
    <row r="467" spans="1:12" hidden="1" x14ac:dyDescent="0.2">
      <c r="A467" s="17" t="s">
        <v>88</v>
      </c>
      <c r="B467" s="17" t="s">
        <v>37</v>
      </c>
      <c r="C467" s="16">
        <v>42893.428206018521</v>
      </c>
      <c r="D467" s="17" t="s">
        <v>5</v>
      </c>
      <c r="E467" s="17" t="s">
        <v>40</v>
      </c>
      <c r="F467" s="16">
        <v>42893.428229166668</v>
      </c>
      <c r="G467" s="16"/>
      <c r="H467" s="16"/>
      <c r="I467" s="11">
        <v>648</v>
      </c>
      <c r="J467" s="54" t="str">
        <f t="shared" si="21"/>
        <v/>
      </c>
      <c r="K467" t="str">
        <f t="shared" si="22"/>
        <v/>
      </c>
      <c r="L467" t="str">
        <f t="shared" si="23"/>
        <v/>
      </c>
    </row>
    <row r="468" spans="1:12" hidden="1" x14ac:dyDescent="0.2">
      <c r="A468" s="17" t="s">
        <v>88</v>
      </c>
      <c r="B468" s="17" t="s">
        <v>37</v>
      </c>
      <c r="C468" s="16">
        <v>42893.428206018521</v>
      </c>
      <c r="D468" s="17" t="s">
        <v>5</v>
      </c>
      <c r="E468" s="17" t="s">
        <v>90</v>
      </c>
      <c r="F468" s="16">
        <v>42893.429976851854</v>
      </c>
      <c r="G468" s="16"/>
      <c r="H468" s="16"/>
      <c r="I468" s="11">
        <v>649</v>
      </c>
      <c r="J468" s="54" t="str">
        <f t="shared" si="21"/>
        <v/>
      </c>
      <c r="K468" t="str">
        <f t="shared" si="22"/>
        <v/>
      </c>
      <c r="L468" t="str">
        <f t="shared" si="23"/>
        <v/>
      </c>
    </row>
    <row r="469" spans="1:12" hidden="1" x14ac:dyDescent="0.2">
      <c r="A469" s="17" t="s">
        <v>88</v>
      </c>
      <c r="B469" s="17" t="s">
        <v>37</v>
      </c>
      <c r="C469" s="16">
        <v>42893.428206018521</v>
      </c>
      <c r="D469" s="17" t="s">
        <v>5</v>
      </c>
      <c r="E469" s="17" t="s">
        <v>57</v>
      </c>
      <c r="F469" s="16">
        <v>42893.551087962966</v>
      </c>
      <c r="G469" s="16"/>
      <c r="H469" s="16"/>
      <c r="I469" s="11">
        <v>651</v>
      </c>
      <c r="J469" s="54" t="str">
        <f t="shared" si="21"/>
        <v/>
      </c>
      <c r="K469" t="str">
        <f t="shared" si="22"/>
        <v/>
      </c>
      <c r="L469" t="str">
        <f t="shared" si="23"/>
        <v/>
      </c>
    </row>
    <row r="470" spans="1:12" hidden="1" x14ac:dyDescent="0.2">
      <c r="A470" s="17" t="s">
        <v>87</v>
      </c>
      <c r="B470" s="17" t="s">
        <v>37</v>
      </c>
      <c r="C470" s="16">
        <v>42893.433275462965</v>
      </c>
      <c r="D470" s="17" t="s">
        <v>5</v>
      </c>
      <c r="E470" s="17" t="s">
        <v>40</v>
      </c>
      <c r="F470" s="16">
        <v>42893.433275462965</v>
      </c>
      <c r="G470" s="16"/>
      <c r="H470" s="16"/>
      <c r="I470" s="11">
        <v>652</v>
      </c>
      <c r="J470" s="54" t="str">
        <f t="shared" si="21"/>
        <v/>
      </c>
      <c r="K470" t="str">
        <f t="shared" si="22"/>
        <v/>
      </c>
      <c r="L470" t="str">
        <f t="shared" si="23"/>
        <v/>
      </c>
    </row>
    <row r="471" spans="1:12" hidden="1" x14ac:dyDescent="0.2">
      <c r="A471" s="17" t="s">
        <v>87</v>
      </c>
      <c r="B471" s="17" t="s">
        <v>37</v>
      </c>
      <c r="C471" s="16">
        <v>42893.433275462965</v>
      </c>
      <c r="D471" s="17" t="s">
        <v>5</v>
      </c>
      <c r="E471" s="17" t="s">
        <v>41</v>
      </c>
      <c r="F471" s="16">
        <v>42893.443460648145</v>
      </c>
      <c r="G471" s="16"/>
      <c r="H471" s="16"/>
      <c r="I471" s="11">
        <v>653</v>
      </c>
      <c r="J471" s="54" t="str">
        <f t="shared" si="21"/>
        <v/>
      </c>
      <c r="K471" t="str">
        <f t="shared" si="22"/>
        <v/>
      </c>
      <c r="L471" t="str">
        <f t="shared" si="23"/>
        <v/>
      </c>
    </row>
    <row r="472" spans="1:12" hidden="1" x14ac:dyDescent="0.2">
      <c r="A472" s="17" t="s">
        <v>87</v>
      </c>
      <c r="B472" s="17" t="s">
        <v>37</v>
      </c>
      <c r="C472" s="16">
        <v>42893.433275462965</v>
      </c>
      <c r="D472" s="17" t="s">
        <v>5</v>
      </c>
      <c r="E472" s="17" t="s">
        <v>46</v>
      </c>
      <c r="F472" s="16">
        <v>42894.750636574077</v>
      </c>
      <c r="G472" s="16"/>
      <c r="H472" s="16"/>
      <c r="I472" s="11">
        <v>654</v>
      </c>
      <c r="J472" s="54" t="str">
        <f t="shared" si="21"/>
        <v/>
      </c>
      <c r="K472" t="str">
        <f t="shared" si="22"/>
        <v>FAS.T2.ETOOLS</v>
      </c>
      <c r="L472" t="str">
        <f t="shared" si="23"/>
        <v/>
      </c>
    </row>
    <row r="473" spans="1:12" hidden="1" x14ac:dyDescent="0.2">
      <c r="A473" s="17" t="s">
        <v>85</v>
      </c>
      <c r="B473" s="17" t="s">
        <v>37</v>
      </c>
      <c r="C473" s="16">
        <v>42893.436284722222</v>
      </c>
      <c r="D473" s="17" t="s">
        <v>5</v>
      </c>
      <c r="E473" s="17" t="s">
        <v>40</v>
      </c>
      <c r="F473" s="16">
        <v>42893.436296296299</v>
      </c>
      <c r="G473" s="16"/>
      <c r="H473" s="16"/>
      <c r="I473" s="11">
        <v>656</v>
      </c>
      <c r="J473" s="54" t="str">
        <f t="shared" si="21"/>
        <v/>
      </c>
      <c r="K473" t="str">
        <f t="shared" si="22"/>
        <v/>
      </c>
      <c r="L473" t="str">
        <f t="shared" si="23"/>
        <v/>
      </c>
    </row>
    <row r="474" spans="1:12" hidden="1" x14ac:dyDescent="0.2">
      <c r="A474" s="17" t="s">
        <v>85</v>
      </c>
      <c r="B474" s="17" t="s">
        <v>37</v>
      </c>
      <c r="C474" s="16">
        <v>42893.436284722222</v>
      </c>
      <c r="D474" s="17" t="s">
        <v>5</v>
      </c>
      <c r="E474" s="17" t="s">
        <v>36</v>
      </c>
      <c r="F474" s="16">
        <v>42893.439143518517</v>
      </c>
      <c r="G474" s="16"/>
      <c r="H474" s="16"/>
      <c r="I474" s="11">
        <v>657</v>
      </c>
      <c r="J474" s="54" t="str">
        <f t="shared" si="21"/>
        <v/>
      </c>
      <c r="K474" t="str">
        <f t="shared" si="22"/>
        <v/>
      </c>
      <c r="L474" t="str">
        <f t="shared" si="23"/>
        <v/>
      </c>
    </row>
    <row r="475" spans="1:12" hidden="1" x14ac:dyDescent="0.2">
      <c r="A475" s="17" t="s">
        <v>85</v>
      </c>
      <c r="B475" s="17" t="s">
        <v>37</v>
      </c>
      <c r="C475" s="16">
        <v>42893.436284722222</v>
      </c>
      <c r="D475" s="17" t="s">
        <v>5</v>
      </c>
      <c r="E475" s="17" t="s">
        <v>46</v>
      </c>
      <c r="F475" s="16">
        <v>42893.443518518521</v>
      </c>
      <c r="G475" s="16"/>
      <c r="H475" s="16"/>
      <c r="I475" s="11">
        <v>659</v>
      </c>
      <c r="J475" s="54" t="str">
        <f t="shared" si="21"/>
        <v/>
      </c>
      <c r="K475" t="str">
        <f t="shared" si="22"/>
        <v>FAS.T2.ETOOLS</v>
      </c>
      <c r="L475" t="str">
        <f t="shared" si="23"/>
        <v/>
      </c>
    </row>
    <row r="476" spans="1:12" hidden="1" x14ac:dyDescent="0.2">
      <c r="A476" s="17" t="s">
        <v>84</v>
      </c>
      <c r="B476" s="17" t="s">
        <v>37</v>
      </c>
      <c r="C476" s="16">
        <v>42893.536793981482</v>
      </c>
      <c r="D476" s="17" t="s">
        <v>5</v>
      </c>
      <c r="E476" s="17" t="s">
        <v>40</v>
      </c>
      <c r="F476" s="16">
        <v>42893.536851851852</v>
      </c>
      <c r="G476" s="16"/>
      <c r="H476" s="16"/>
      <c r="I476" s="11">
        <v>661</v>
      </c>
      <c r="J476" s="54" t="str">
        <f t="shared" si="21"/>
        <v/>
      </c>
      <c r="K476" t="str">
        <f t="shared" si="22"/>
        <v/>
      </c>
      <c r="L476" t="str">
        <f t="shared" si="23"/>
        <v/>
      </c>
    </row>
    <row r="477" spans="1:12" hidden="1" x14ac:dyDescent="0.2">
      <c r="A477" s="17" t="s">
        <v>84</v>
      </c>
      <c r="B477" s="17" t="s">
        <v>37</v>
      </c>
      <c r="C477" s="16">
        <v>42893.536793981482</v>
      </c>
      <c r="D477" s="17" t="s">
        <v>5</v>
      </c>
      <c r="E477" s="17" t="s">
        <v>46</v>
      </c>
      <c r="F477" s="16">
        <v>42893.546782407408</v>
      </c>
      <c r="G477" s="16"/>
      <c r="H477" s="16"/>
      <c r="I477" s="11">
        <v>662</v>
      </c>
      <c r="J477" s="54" t="str">
        <f t="shared" si="21"/>
        <v/>
      </c>
      <c r="K477" t="str">
        <f t="shared" si="22"/>
        <v>FAS.T2.ETOOLS</v>
      </c>
      <c r="L477" t="str">
        <f t="shared" si="23"/>
        <v/>
      </c>
    </row>
    <row r="478" spans="1:12" hidden="1" x14ac:dyDescent="0.2">
      <c r="A478" s="17" t="s">
        <v>83</v>
      </c>
      <c r="B478" s="17" t="s">
        <v>37</v>
      </c>
      <c r="C478" s="16">
        <v>42893.600949074076</v>
      </c>
      <c r="D478" s="17" t="s">
        <v>5</v>
      </c>
      <c r="E478" s="17" t="s">
        <v>40</v>
      </c>
      <c r="F478" s="16">
        <v>42893.600983796299</v>
      </c>
      <c r="G478" s="16"/>
      <c r="H478" s="16"/>
      <c r="I478" s="11">
        <v>664</v>
      </c>
      <c r="J478" s="54" t="str">
        <f t="shared" si="21"/>
        <v/>
      </c>
      <c r="K478" t="str">
        <f t="shared" si="22"/>
        <v/>
      </c>
      <c r="L478" t="str">
        <f t="shared" si="23"/>
        <v/>
      </c>
    </row>
    <row r="479" spans="1:12" hidden="1" x14ac:dyDescent="0.2">
      <c r="A479" s="17" t="s">
        <v>83</v>
      </c>
      <c r="B479" s="17" t="s">
        <v>37</v>
      </c>
      <c r="C479" s="16">
        <v>42893.600949074076</v>
      </c>
      <c r="D479" s="17" t="s">
        <v>5</v>
      </c>
      <c r="E479" s="17" t="s">
        <v>36</v>
      </c>
      <c r="F479" s="16">
        <v>42893.615798611114</v>
      </c>
      <c r="G479" s="16"/>
      <c r="H479" s="16"/>
      <c r="I479" s="11">
        <v>665</v>
      </c>
      <c r="J479" s="54" t="str">
        <f t="shared" si="21"/>
        <v/>
      </c>
      <c r="K479" t="str">
        <f t="shared" si="22"/>
        <v/>
      </c>
      <c r="L479" t="str">
        <f t="shared" si="23"/>
        <v/>
      </c>
    </row>
    <row r="480" spans="1:12" hidden="1" x14ac:dyDescent="0.2">
      <c r="A480" s="17" t="s">
        <v>83</v>
      </c>
      <c r="B480" s="17" t="s">
        <v>37</v>
      </c>
      <c r="C480" s="16">
        <v>42893.600949074076</v>
      </c>
      <c r="D480" s="17" t="s">
        <v>5</v>
      </c>
      <c r="E480" s="17" t="s">
        <v>46</v>
      </c>
      <c r="F480" s="16">
        <v>42893.666076388887</v>
      </c>
      <c r="G480" s="16"/>
      <c r="H480" s="16"/>
      <c r="I480" s="11">
        <v>667</v>
      </c>
      <c r="J480" s="54" t="str">
        <f t="shared" si="21"/>
        <v/>
      </c>
      <c r="K480" t="str">
        <f t="shared" si="22"/>
        <v>FAS.T2.ETOOLS</v>
      </c>
      <c r="L480" t="str">
        <f t="shared" si="23"/>
        <v/>
      </c>
    </row>
    <row r="481" spans="1:12" hidden="1" x14ac:dyDescent="0.2">
      <c r="A481" s="17" t="s">
        <v>81</v>
      </c>
      <c r="B481" s="17" t="s">
        <v>37</v>
      </c>
      <c r="C481" s="16">
        <v>42893.635451388887</v>
      </c>
      <c r="D481" s="17" t="s">
        <v>5</v>
      </c>
      <c r="E481" s="17" t="s">
        <v>40</v>
      </c>
      <c r="F481" s="16">
        <v>42893.635474537034</v>
      </c>
      <c r="G481" s="16"/>
      <c r="H481" s="16"/>
      <c r="I481" s="11">
        <v>669</v>
      </c>
      <c r="J481" s="54" t="str">
        <f t="shared" si="21"/>
        <v/>
      </c>
      <c r="K481" t="str">
        <f t="shared" si="22"/>
        <v/>
      </c>
      <c r="L481" t="str">
        <f t="shared" si="23"/>
        <v/>
      </c>
    </row>
    <row r="482" spans="1:12" hidden="1" x14ac:dyDescent="0.2">
      <c r="A482" s="17" t="s">
        <v>81</v>
      </c>
      <c r="B482" s="17" t="s">
        <v>37</v>
      </c>
      <c r="C482" s="16">
        <v>42893.635451388887</v>
      </c>
      <c r="D482" s="17" t="s">
        <v>5</v>
      </c>
      <c r="E482" s="17" t="s">
        <v>46</v>
      </c>
      <c r="F482" s="16">
        <v>42893.640231481484</v>
      </c>
      <c r="G482" s="16"/>
      <c r="H482" s="16"/>
      <c r="I482" s="11">
        <v>670</v>
      </c>
      <c r="J482" s="54" t="str">
        <f t="shared" si="21"/>
        <v/>
      </c>
      <c r="K482" t="str">
        <f t="shared" si="22"/>
        <v>FAS.T2.ETOOLS</v>
      </c>
      <c r="L482" t="str">
        <f t="shared" si="23"/>
        <v/>
      </c>
    </row>
    <row r="483" spans="1:12" hidden="1" x14ac:dyDescent="0.2">
      <c r="A483" s="17" t="s">
        <v>80</v>
      </c>
      <c r="B483" s="17" t="s">
        <v>37</v>
      </c>
      <c r="C483" s="16">
        <v>42893.674687500003</v>
      </c>
      <c r="D483" s="17" t="s">
        <v>5</v>
      </c>
      <c r="E483" s="17" t="s">
        <v>40</v>
      </c>
      <c r="F483" s="16">
        <v>42893.674733796295</v>
      </c>
      <c r="G483" s="16"/>
      <c r="H483" s="16"/>
      <c r="I483" s="11">
        <v>672</v>
      </c>
      <c r="J483" s="54" t="str">
        <f t="shared" si="21"/>
        <v/>
      </c>
      <c r="K483" t="str">
        <f t="shared" si="22"/>
        <v/>
      </c>
      <c r="L483" t="str">
        <f t="shared" si="23"/>
        <v/>
      </c>
    </row>
    <row r="484" spans="1:12" hidden="1" x14ac:dyDescent="0.2">
      <c r="A484" s="17" t="s">
        <v>80</v>
      </c>
      <c r="B484" s="17" t="s">
        <v>37</v>
      </c>
      <c r="C484" s="16">
        <v>42893.674687500003</v>
      </c>
      <c r="D484" s="17" t="s">
        <v>5</v>
      </c>
      <c r="E484" s="17" t="s">
        <v>36</v>
      </c>
      <c r="F484" s="16">
        <v>42893.679861111108</v>
      </c>
      <c r="G484" s="16"/>
      <c r="H484" s="16"/>
      <c r="I484" s="11">
        <v>673</v>
      </c>
      <c r="J484" s="54" t="str">
        <f t="shared" si="21"/>
        <v/>
      </c>
      <c r="K484" t="str">
        <f t="shared" si="22"/>
        <v/>
      </c>
      <c r="L484" t="str">
        <f t="shared" si="23"/>
        <v/>
      </c>
    </row>
    <row r="485" spans="1:12" hidden="1" x14ac:dyDescent="0.2">
      <c r="A485" s="17" t="s">
        <v>80</v>
      </c>
      <c r="B485" s="17" t="s">
        <v>37</v>
      </c>
      <c r="C485" s="16">
        <v>42893.674687500003</v>
      </c>
      <c r="D485" s="17" t="s">
        <v>5</v>
      </c>
      <c r="E485" s="17" t="s">
        <v>46</v>
      </c>
      <c r="F485" s="16">
        <v>42893.680439814816</v>
      </c>
      <c r="G485" s="16"/>
      <c r="H485" s="16"/>
      <c r="I485" s="11">
        <v>674</v>
      </c>
      <c r="J485" s="54" t="str">
        <f t="shared" si="21"/>
        <v/>
      </c>
      <c r="K485" t="str">
        <f t="shared" si="22"/>
        <v>FAS.T2.ETOOLS</v>
      </c>
      <c r="L485" t="str">
        <f t="shared" si="23"/>
        <v/>
      </c>
    </row>
    <row r="486" spans="1:12" hidden="1" x14ac:dyDescent="0.2">
      <c r="A486" s="17" t="s">
        <v>79</v>
      </c>
      <c r="B486" s="17" t="s">
        <v>37</v>
      </c>
      <c r="C486" s="16">
        <v>42893.688171296293</v>
      </c>
      <c r="D486" s="17" t="s">
        <v>5</v>
      </c>
      <c r="E486" s="17" t="s">
        <v>40</v>
      </c>
      <c r="F486" s="16">
        <v>42893.68818287037</v>
      </c>
      <c r="G486" s="16"/>
      <c r="H486" s="16"/>
      <c r="I486" s="11">
        <v>676</v>
      </c>
      <c r="J486" s="54" t="str">
        <f t="shared" si="21"/>
        <v/>
      </c>
      <c r="K486" t="str">
        <f t="shared" si="22"/>
        <v/>
      </c>
      <c r="L486" t="str">
        <f t="shared" si="23"/>
        <v/>
      </c>
    </row>
    <row r="487" spans="1:12" hidden="1" x14ac:dyDescent="0.2">
      <c r="A487" s="17" t="s">
        <v>79</v>
      </c>
      <c r="B487" s="17" t="s">
        <v>37</v>
      </c>
      <c r="C487" s="16">
        <v>42893.688171296293</v>
      </c>
      <c r="D487" s="17" t="s">
        <v>5</v>
      </c>
      <c r="E487" s="17" t="s">
        <v>36</v>
      </c>
      <c r="F487" s="16">
        <v>42893.689641203702</v>
      </c>
      <c r="G487" s="16"/>
      <c r="H487" s="16"/>
      <c r="I487" s="11">
        <v>677</v>
      </c>
      <c r="J487" s="54" t="str">
        <f t="shared" si="21"/>
        <v/>
      </c>
      <c r="K487" t="str">
        <f t="shared" si="22"/>
        <v/>
      </c>
      <c r="L487" t="str">
        <f t="shared" si="23"/>
        <v/>
      </c>
    </row>
    <row r="488" spans="1:12" hidden="1" x14ac:dyDescent="0.2">
      <c r="A488" s="17" t="s">
        <v>78</v>
      </c>
      <c r="B488" s="17" t="s">
        <v>37</v>
      </c>
      <c r="C488" s="16">
        <v>42893.697280092594</v>
      </c>
      <c r="D488" s="17" t="s">
        <v>5</v>
      </c>
      <c r="E488" s="17" t="s">
        <v>40</v>
      </c>
      <c r="F488" s="16">
        <v>42893.69734953704</v>
      </c>
      <c r="G488" s="16"/>
      <c r="H488" s="16"/>
      <c r="I488" s="11">
        <v>679</v>
      </c>
      <c r="J488" s="54" t="str">
        <f t="shared" si="21"/>
        <v/>
      </c>
      <c r="K488" t="str">
        <f t="shared" si="22"/>
        <v/>
      </c>
      <c r="L488" t="str">
        <f t="shared" si="23"/>
        <v/>
      </c>
    </row>
    <row r="489" spans="1:12" hidden="1" x14ac:dyDescent="0.2">
      <c r="A489" s="17" t="s">
        <v>78</v>
      </c>
      <c r="B489" s="17" t="s">
        <v>37</v>
      </c>
      <c r="C489" s="16">
        <v>42893.697280092594</v>
      </c>
      <c r="D489" s="17" t="s">
        <v>5</v>
      </c>
      <c r="E489" s="17" t="s">
        <v>36</v>
      </c>
      <c r="F489" s="16">
        <v>42893.697800925926</v>
      </c>
      <c r="G489" s="16"/>
      <c r="H489" s="16"/>
      <c r="I489" s="11">
        <v>680</v>
      </c>
      <c r="J489" s="54" t="str">
        <f t="shared" si="21"/>
        <v/>
      </c>
      <c r="K489" t="str">
        <f t="shared" si="22"/>
        <v/>
      </c>
      <c r="L489" t="str">
        <f t="shared" si="23"/>
        <v/>
      </c>
    </row>
    <row r="490" spans="1:12" hidden="1" x14ac:dyDescent="0.2">
      <c r="A490" s="17" t="s">
        <v>78</v>
      </c>
      <c r="B490" s="17" t="s">
        <v>37</v>
      </c>
      <c r="C490" s="16">
        <v>42893.697280092594</v>
      </c>
      <c r="D490" s="17" t="s">
        <v>5</v>
      </c>
      <c r="E490" s="17" t="s">
        <v>46</v>
      </c>
      <c r="F490" s="16">
        <v>42894.421134259261</v>
      </c>
      <c r="G490" s="16"/>
      <c r="H490" s="16"/>
      <c r="I490" s="11">
        <v>682</v>
      </c>
      <c r="J490" s="54" t="str">
        <f t="shared" si="21"/>
        <v/>
      </c>
      <c r="K490" t="str">
        <f t="shared" si="22"/>
        <v>FAS.T2.ETOOLS</v>
      </c>
      <c r="L490" t="str">
        <f t="shared" si="23"/>
        <v/>
      </c>
    </row>
    <row r="491" spans="1:12" hidden="1" x14ac:dyDescent="0.2">
      <c r="A491" s="17" t="s">
        <v>77</v>
      </c>
      <c r="B491" s="17" t="s">
        <v>37</v>
      </c>
      <c r="C491" s="16">
        <v>42893.699155092596</v>
      </c>
      <c r="D491" s="17" t="s">
        <v>5</v>
      </c>
      <c r="E491" s="17" t="s">
        <v>40</v>
      </c>
      <c r="F491" s="16">
        <v>42893.699155092596</v>
      </c>
      <c r="G491" s="16"/>
      <c r="H491" s="16"/>
      <c r="I491" s="11">
        <v>684</v>
      </c>
      <c r="J491" s="54" t="str">
        <f t="shared" si="21"/>
        <v/>
      </c>
      <c r="K491" t="str">
        <f t="shared" si="22"/>
        <v/>
      </c>
      <c r="L491" t="str">
        <f t="shared" si="23"/>
        <v/>
      </c>
    </row>
    <row r="492" spans="1:12" hidden="1" x14ac:dyDescent="0.2">
      <c r="A492" s="17" t="s">
        <v>77</v>
      </c>
      <c r="B492" s="17" t="s">
        <v>37</v>
      </c>
      <c r="C492" s="16">
        <v>42893.699155092596</v>
      </c>
      <c r="D492" s="17" t="s">
        <v>5</v>
      </c>
      <c r="E492" s="17" t="s">
        <v>36</v>
      </c>
      <c r="F492" s="16">
        <v>42893.699560185189</v>
      </c>
      <c r="G492" s="16"/>
      <c r="H492" s="16"/>
      <c r="I492" s="11">
        <v>685</v>
      </c>
      <c r="J492" s="54" t="str">
        <f t="shared" si="21"/>
        <v/>
      </c>
      <c r="K492" t="str">
        <f t="shared" si="22"/>
        <v/>
      </c>
      <c r="L492" t="str">
        <f t="shared" si="23"/>
        <v/>
      </c>
    </row>
    <row r="493" spans="1:12" hidden="1" x14ac:dyDescent="0.2">
      <c r="A493" s="17" t="s">
        <v>77</v>
      </c>
      <c r="B493" s="17" t="s">
        <v>37</v>
      </c>
      <c r="C493" s="16">
        <v>42893.699155092596</v>
      </c>
      <c r="D493" s="17" t="s">
        <v>5</v>
      </c>
      <c r="E493" s="17" t="s">
        <v>46</v>
      </c>
      <c r="F493" s="16">
        <v>42893.712847222225</v>
      </c>
      <c r="G493" s="16"/>
      <c r="H493" s="16"/>
      <c r="I493" s="11">
        <v>686</v>
      </c>
      <c r="J493" s="54" t="str">
        <f t="shared" si="21"/>
        <v/>
      </c>
      <c r="K493" t="str">
        <f t="shared" si="22"/>
        <v>FAS.T2.ETOOLS</v>
      </c>
      <c r="L493" t="str">
        <f t="shared" si="23"/>
        <v/>
      </c>
    </row>
    <row r="494" spans="1:12" hidden="1" x14ac:dyDescent="0.2">
      <c r="A494" s="17" t="s">
        <v>76</v>
      </c>
      <c r="B494" s="17" t="s">
        <v>37</v>
      </c>
      <c r="C494" s="16">
        <v>42894.31322916667</v>
      </c>
      <c r="D494" s="17" t="s">
        <v>5</v>
      </c>
      <c r="E494" s="17" t="s">
        <v>40</v>
      </c>
      <c r="F494" s="16">
        <v>42894.313275462962</v>
      </c>
      <c r="G494" s="16"/>
      <c r="H494" s="16"/>
      <c r="I494" s="11">
        <v>688</v>
      </c>
      <c r="J494" s="54" t="str">
        <f t="shared" si="21"/>
        <v/>
      </c>
      <c r="K494" t="str">
        <f t="shared" si="22"/>
        <v/>
      </c>
      <c r="L494" t="str">
        <f t="shared" si="23"/>
        <v/>
      </c>
    </row>
    <row r="495" spans="1:12" hidden="1" x14ac:dyDescent="0.2">
      <c r="A495" s="17" t="s">
        <v>76</v>
      </c>
      <c r="B495" s="17" t="s">
        <v>37</v>
      </c>
      <c r="C495" s="16">
        <v>42894.31322916667</v>
      </c>
      <c r="D495" s="17" t="s">
        <v>5</v>
      </c>
      <c r="E495" s="17" t="s">
        <v>36</v>
      </c>
      <c r="F495" s="16">
        <v>42894.313888888886</v>
      </c>
      <c r="G495" s="16"/>
      <c r="H495" s="16"/>
      <c r="I495" s="11">
        <v>689</v>
      </c>
      <c r="J495" s="54" t="str">
        <f t="shared" si="21"/>
        <v/>
      </c>
      <c r="K495" t="str">
        <f t="shared" si="22"/>
        <v/>
      </c>
      <c r="L495" t="str">
        <f t="shared" si="23"/>
        <v/>
      </c>
    </row>
    <row r="496" spans="1:12" hidden="1" x14ac:dyDescent="0.2">
      <c r="A496" s="17" t="s">
        <v>75</v>
      </c>
      <c r="B496" s="17" t="s">
        <v>37</v>
      </c>
      <c r="C496" s="16">
        <v>42894.403425925928</v>
      </c>
      <c r="D496" s="17" t="s">
        <v>5</v>
      </c>
      <c r="E496" s="17" t="s">
        <v>40</v>
      </c>
      <c r="F496" s="16">
        <v>42894.403506944444</v>
      </c>
      <c r="G496" s="16"/>
      <c r="H496" s="16"/>
      <c r="I496" s="11">
        <v>691</v>
      </c>
      <c r="J496" s="54" t="str">
        <f t="shared" si="21"/>
        <v/>
      </c>
      <c r="K496" t="str">
        <f t="shared" si="22"/>
        <v/>
      </c>
      <c r="L496" t="str">
        <f t="shared" si="23"/>
        <v/>
      </c>
    </row>
    <row r="497" spans="1:12" hidden="1" x14ac:dyDescent="0.2">
      <c r="A497" s="17" t="s">
        <v>75</v>
      </c>
      <c r="B497" s="17" t="s">
        <v>37</v>
      </c>
      <c r="C497" s="16">
        <v>42894.403425925928</v>
      </c>
      <c r="D497" s="17" t="s">
        <v>5</v>
      </c>
      <c r="E497" s="17" t="s">
        <v>36</v>
      </c>
      <c r="F497" s="16">
        <v>42894.406192129631</v>
      </c>
      <c r="G497" s="16"/>
      <c r="H497" s="16"/>
      <c r="I497" s="11">
        <v>692</v>
      </c>
      <c r="J497" s="54" t="str">
        <f t="shared" si="21"/>
        <v/>
      </c>
      <c r="K497" t="str">
        <f t="shared" si="22"/>
        <v/>
      </c>
      <c r="L497" t="str">
        <f t="shared" si="23"/>
        <v/>
      </c>
    </row>
    <row r="498" spans="1:12" hidden="1" x14ac:dyDescent="0.2">
      <c r="A498" s="17" t="s">
        <v>75</v>
      </c>
      <c r="B498" s="17" t="s">
        <v>37</v>
      </c>
      <c r="C498" s="16">
        <v>42894.403425925928</v>
      </c>
      <c r="D498" s="17" t="s">
        <v>5</v>
      </c>
      <c r="E498" s="17" t="s">
        <v>46</v>
      </c>
      <c r="F498" s="16">
        <v>42894.476782407408</v>
      </c>
      <c r="G498" s="16"/>
      <c r="H498" s="16"/>
      <c r="I498" s="11">
        <v>693</v>
      </c>
      <c r="J498" s="54" t="str">
        <f t="shared" si="21"/>
        <v/>
      </c>
      <c r="K498" t="str">
        <f t="shared" si="22"/>
        <v>FAS.T2.ETOOLS</v>
      </c>
      <c r="L498" t="str">
        <f t="shared" si="23"/>
        <v/>
      </c>
    </row>
    <row r="499" spans="1:12" hidden="1" x14ac:dyDescent="0.2">
      <c r="A499" s="17" t="s">
        <v>73</v>
      </c>
      <c r="B499" s="17" t="s">
        <v>37</v>
      </c>
      <c r="C499" s="16">
        <v>42894.411493055559</v>
      </c>
      <c r="D499" s="17" t="s">
        <v>5</v>
      </c>
      <c r="E499" s="17" t="s">
        <v>40</v>
      </c>
      <c r="F499" s="16">
        <v>42894.411562499998</v>
      </c>
      <c r="G499" s="16"/>
      <c r="H499" s="16"/>
      <c r="I499" s="11">
        <v>695</v>
      </c>
      <c r="J499" s="54" t="str">
        <f t="shared" si="21"/>
        <v/>
      </c>
      <c r="K499" t="str">
        <f t="shared" si="22"/>
        <v/>
      </c>
      <c r="L499" t="str">
        <f t="shared" si="23"/>
        <v/>
      </c>
    </row>
    <row r="500" spans="1:12" hidden="1" x14ac:dyDescent="0.2">
      <c r="A500" s="17" t="s">
        <v>73</v>
      </c>
      <c r="B500" s="17" t="s">
        <v>37</v>
      </c>
      <c r="C500" s="16">
        <v>42894.411493055559</v>
      </c>
      <c r="D500" s="17" t="s">
        <v>5</v>
      </c>
      <c r="E500" s="17" t="s">
        <v>36</v>
      </c>
      <c r="F500" s="16">
        <v>42894.419386574074</v>
      </c>
      <c r="G500" s="16"/>
      <c r="H500" s="16"/>
      <c r="I500" s="11">
        <v>696</v>
      </c>
      <c r="J500" s="54" t="str">
        <f t="shared" si="21"/>
        <v/>
      </c>
      <c r="K500" t="str">
        <f t="shared" si="22"/>
        <v/>
      </c>
      <c r="L500" t="str">
        <f t="shared" si="23"/>
        <v/>
      </c>
    </row>
    <row r="501" spans="1:12" hidden="1" x14ac:dyDescent="0.2">
      <c r="A501" s="17" t="s">
        <v>73</v>
      </c>
      <c r="B501" s="17" t="s">
        <v>37</v>
      </c>
      <c r="C501" s="16">
        <v>42894.411493055559</v>
      </c>
      <c r="D501" s="17" t="s">
        <v>5</v>
      </c>
      <c r="E501" s="17" t="s">
        <v>46</v>
      </c>
      <c r="F501" s="16">
        <v>42894.481145833335</v>
      </c>
      <c r="G501" s="16"/>
      <c r="H501" s="16"/>
      <c r="I501" s="11">
        <v>698</v>
      </c>
      <c r="J501" s="54" t="str">
        <f t="shared" si="21"/>
        <v/>
      </c>
      <c r="K501" t="str">
        <f t="shared" si="22"/>
        <v>FAS.T2.ETOOLS</v>
      </c>
      <c r="L501" t="str">
        <f t="shared" si="23"/>
        <v/>
      </c>
    </row>
    <row r="502" spans="1:12" hidden="1" x14ac:dyDescent="0.2">
      <c r="A502" s="17" t="s">
        <v>72</v>
      </c>
      <c r="B502" s="17" t="s">
        <v>37</v>
      </c>
      <c r="C502" s="16">
        <v>42894.423622685186</v>
      </c>
      <c r="D502" s="17" t="s">
        <v>5</v>
      </c>
      <c r="E502" s="17" t="s">
        <v>40</v>
      </c>
      <c r="F502" s="16">
        <v>42894.423668981479</v>
      </c>
      <c r="G502" s="16"/>
      <c r="H502" s="16"/>
      <c r="I502" s="11">
        <v>700</v>
      </c>
      <c r="J502" s="54" t="str">
        <f t="shared" si="21"/>
        <v/>
      </c>
      <c r="K502" t="str">
        <f t="shared" si="22"/>
        <v/>
      </c>
      <c r="L502" t="str">
        <f t="shared" si="23"/>
        <v/>
      </c>
    </row>
    <row r="503" spans="1:12" hidden="1" x14ac:dyDescent="0.2">
      <c r="A503" s="17" t="s">
        <v>72</v>
      </c>
      <c r="B503" s="17" t="s">
        <v>37</v>
      </c>
      <c r="C503" s="16">
        <v>42894.423622685186</v>
      </c>
      <c r="D503" s="17" t="s">
        <v>5</v>
      </c>
      <c r="E503" s="17" t="s">
        <v>36</v>
      </c>
      <c r="F503" s="16">
        <v>42894.424259259256</v>
      </c>
      <c r="G503" s="16"/>
      <c r="H503" s="16"/>
      <c r="I503" s="11">
        <v>701</v>
      </c>
      <c r="J503" s="54" t="str">
        <f t="shared" si="21"/>
        <v/>
      </c>
      <c r="K503" t="str">
        <f t="shared" si="22"/>
        <v/>
      </c>
      <c r="L503" t="str">
        <f t="shared" si="23"/>
        <v/>
      </c>
    </row>
    <row r="504" spans="1:12" hidden="1" x14ac:dyDescent="0.2">
      <c r="A504" s="17" t="s">
        <v>72</v>
      </c>
      <c r="B504" s="17" t="s">
        <v>37</v>
      </c>
      <c r="C504" s="16">
        <v>42894.423622685186</v>
      </c>
      <c r="D504" s="17" t="s">
        <v>5</v>
      </c>
      <c r="E504" s="17" t="s">
        <v>46</v>
      </c>
      <c r="F504" s="16">
        <v>42894.453460648147</v>
      </c>
      <c r="G504" s="16"/>
      <c r="H504" s="16"/>
      <c r="I504" s="11">
        <v>702</v>
      </c>
      <c r="J504" s="54" t="str">
        <f t="shared" si="21"/>
        <v/>
      </c>
      <c r="K504" t="str">
        <f t="shared" si="22"/>
        <v>FAS.T2.ETOOLS</v>
      </c>
      <c r="L504" t="str">
        <f t="shared" si="23"/>
        <v/>
      </c>
    </row>
    <row r="505" spans="1:12" hidden="1" x14ac:dyDescent="0.2">
      <c r="A505" s="17" t="s">
        <v>70</v>
      </c>
      <c r="B505" s="17" t="s">
        <v>37</v>
      </c>
      <c r="C505" s="16">
        <v>42894.574479166666</v>
      </c>
      <c r="D505" s="17" t="s">
        <v>5</v>
      </c>
      <c r="E505" s="17" t="s">
        <v>40</v>
      </c>
      <c r="F505" s="16">
        <v>42894.574490740742</v>
      </c>
      <c r="G505" s="16"/>
      <c r="H505" s="16"/>
      <c r="I505" s="11">
        <v>704</v>
      </c>
      <c r="J505" s="54" t="str">
        <f t="shared" si="21"/>
        <v/>
      </c>
      <c r="K505" t="str">
        <f t="shared" si="22"/>
        <v/>
      </c>
      <c r="L505" t="str">
        <f t="shared" si="23"/>
        <v/>
      </c>
    </row>
    <row r="506" spans="1:12" hidden="1" x14ac:dyDescent="0.2">
      <c r="A506" s="17" t="s">
        <v>70</v>
      </c>
      <c r="B506" s="17" t="s">
        <v>37</v>
      </c>
      <c r="C506" s="16">
        <v>42894.574479166666</v>
      </c>
      <c r="D506" s="17" t="s">
        <v>5</v>
      </c>
      <c r="E506" s="17" t="s">
        <v>36</v>
      </c>
      <c r="F506" s="16">
        <v>42894.576574074075</v>
      </c>
      <c r="G506" s="16"/>
      <c r="H506" s="16"/>
      <c r="I506" s="11">
        <v>705</v>
      </c>
      <c r="J506" s="54" t="str">
        <f t="shared" si="21"/>
        <v/>
      </c>
      <c r="K506" t="str">
        <f t="shared" si="22"/>
        <v/>
      </c>
      <c r="L506" t="str">
        <f t="shared" si="23"/>
        <v/>
      </c>
    </row>
    <row r="507" spans="1:12" hidden="1" x14ac:dyDescent="0.2">
      <c r="A507" s="17" t="s">
        <v>70</v>
      </c>
      <c r="B507" s="17" t="s">
        <v>37</v>
      </c>
      <c r="C507" s="16">
        <v>42894.574479166666</v>
      </c>
      <c r="D507" s="17" t="s">
        <v>5</v>
      </c>
      <c r="E507" s="17" t="s">
        <v>46</v>
      </c>
      <c r="F507" s="16">
        <v>42894.668576388889</v>
      </c>
      <c r="G507" s="16"/>
      <c r="H507" s="16"/>
      <c r="I507" s="11">
        <v>707</v>
      </c>
      <c r="J507" s="54" t="str">
        <f t="shared" si="21"/>
        <v/>
      </c>
      <c r="K507" t="str">
        <f t="shared" si="22"/>
        <v>FAS.T2.ETOOLS</v>
      </c>
      <c r="L507" t="str">
        <f t="shared" si="23"/>
        <v/>
      </c>
    </row>
    <row r="508" spans="1:12" hidden="1" x14ac:dyDescent="0.2">
      <c r="A508" s="17" t="s">
        <v>69</v>
      </c>
      <c r="B508" s="17" t="s">
        <v>37</v>
      </c>
      <c r="C508" s="16">
        <v>42894.578819444447</v>
      </c>
      <c r="D508" s="17" t="s">
        <v>5</v>
      </c>
      <c r="E508" s="17" t="s">
        <v>40</v>
      </c>
      <c r="F508" s="16">
        <v>42894.578842592593</v>
      </c>
      <c r="G508" s="16"/>
      <c r="H508" s="16"/>
      <c r="I508" s="11">
        <v>709</v>
      </c>
      <c r="J508" s="54" t="str">
        <f t="shared" si="21"/>
        <v/>
      </c>
      <c r="K508" t="str">
        <f t="shared" si="22"/>
        <v/>
      </c>
      <c r="L508" t="str">
        <f t="shared" si="23"/>
        <v/>
      </c>
    </row>
    <row r="509" spans="1:12" hidden="1" x14ac:dyDescent="0.2">
      <c r="A509" s="17" t="s">
        <v>69</v>
      </c>
      <c r="B509" s="17" t="s">
        <v>37</v>
      </c>
      <c r="C509" s="16">
        <v>42894.578819444447</v>
      </c>
      <c r="D509" s="17" t="s">
        <v>5</v>
      </c>
      <c r="E509" s="17" t="s">
        <v>46</v>
      </c>
      <c r="F509" s="16">
        <v>42894.588078703702</v>
      </c>
      <c r="G509" s="16"/>
      <c r="H509" s="16"/>
      <c r="I509" s="11">
        <v>710</v>
      </c>
      <c r="J509" s="54" t="str">
        <f t="shared" si="21"/>
        <v/>
      </c>
      <c r="K509" t="str">
        <f t="shared" si="22"/>
        <v>FAS.T2.ETOOLS</v>
      </c>
      <c r="L509" t="str">
        <f t="shared" si="23"/>
        <v/>
      </c>
    </row>
    <row r="510" spans="1:12" hidden="1" x14ac:dyDescent="0.2">
      <c r="A510" s="17" t="s">
        <v>68</v>
      </c>
      <c r="B510" s="17" t="s">
        <v>37</v>
      </c>
      <c r="C510" s="16">
        <v>42894.582870370374</v>
      </c>
      <c r="D510" s="17" t="s">
        <v>5</v>
      </c>
      <c r="E510" s="17" t="s">
        <v>40</v>
      </c>
      <c r="F510" s="16">
        <v>42894.582881944443</v>
      </c>
      <c r="G510" s="16"/>
      <c r="H510" s="16"/>
      <c r="I510" s="11">
        <v>712</v>
      </c>
      <c r="J510" s="54" t="str">
        <f t="shared" si="21"/>
        <v/>
      </c>
      <c r="K510" t="str">
        <f t="shared" si="22"/>
        <v/>
      </c>
      <c r="L510" t="str">
        <f t="shared" si="23"/>
        <v/>
      </c>
    </row>
    <row r="511" spans="1:12" hidden="1" x14ac:dyDescent="0.2">
      <c r="A511" s="17" t="s">
        <v>68</v>
      </c>
      <c r="B511" s="17" t="s">
        <v>37</v>
      </c>
      <c r="C511" s="16">
        <v>42894.582870370374</v>
      </c>
      <c r="D511" s="17" t="s">
        <v>5</v>
      </c>
      <c r="E511" s="17" t="s">
        <v>36</v>
      </c>
      <c r="F511" s="16">
        <v>42894.585405092592</v>
      </c>
      <c r="G511" s="16"/>
      <c r="H511" s="16"/>
      <c r="I511" s="11">
        <v>713</v>
      </c>
      <c r="J511" s="54" t="str">
        <f t="shared" si="21"/>
        <v/>
      </c>
      <c r="K511" t="str">
        <f t="shared" si="22"/>
        <v/>
      </c>
      <c r="L511" t="str">
        <f t="shared" si="23"/>
        <v/>
      </c>
    </row>
    <row r="512" spans="1:12" hidden="1" x14ac:dyDescent="0.2">
      <c r="A512" s="17" t="s">
        <v>68</v>
      </c>
      <c r="B512" s="17" t="s">
        <v>37</v>
      </c>
      <c r="C512" s="16">
        <v>42894.582870370374</v>
      </c>
      <c r="D512" s="17" t="s">
        <v>5</v>
      </c>
      <c r="E512" s="17" t="s">
        <v>46</v>
      </c>
      <c r="F512" s="16">
        <v>42895.368263888886</v>
      </c>
      <c r="G512" s="16"/>
      <c r="H512" s="16"/>
      <c r="I512" s="11">
        <v>715</v>
      </c>
      <c r="J512" s="54" t="str">
        <f t="shared" si="21"/>
        <v/>
      </c>
      <c r="K512" t="str">
        <f t="shared" si="22"/>
        <v>FAS.T2.ETOOLS</v>
      </c>
      <c r="L512" t="str">
        <f t="shared" si="23"/>
        <v/>
      </c>
    </row>
    <row r="513" spans="1:12" hidden="1" x14ac:dyDescent="0.2">
      <c r="A513" s="17" t="s">
        <v>66</v>
      </c>
      <c r="B513" s="17" t="s">
        <v>65</v>
      </c>
      <c r="C513" s="16">
        <v>42894.58384259259</v>
      </c>
      <c r="D513" s="17" t="s">
        <v>5</v>
      </c>
      <c r="E513" s="17" t="s">
        <v>40</v>
      </c>
      <c r="F513" s="16">
        <v>42894.58388888889</v>
      </c>
      <c r="G513" s="16"/>
      <c r="H513" s="16"/>
      <c r="I513" s="11">
        <v>717</v>
      </c>
      <c r="J513" s="54" t="str">
        <f t="shared" ref="J513:J544" si="24">IF(AND(A513=A514,E513="FAS.T2.ETOOLS",E514&lt;&gt;"FAS.T2.ETOOLS"),F514, "")</f>
        <v/>
      </c>
      <c r="K513" t="str">
        <f t="shared" ref="K513:K544" si="25">IF(OR(AND(A513=A512, E513="FAS.T2.ETOOLS"),AND(A513=A512, K512="FAS.T2.ETOOLS")), "FAS.T2.ETOOLS", "")</f>
        <v/>
      </c>
      <c r="L513" t="str">
        <f t="shared" si="23"/>
        <v/>
      </c>
    </row>
    <row r="514" spans="1:12" hidden="1" x14ac:dyDescent="0.2">
      <c r="A514" s="17" t="s">
        <v>66</v>
      </c>
      <c r="B514" s="17" t="s">
        <v>65</v>
      </c>
      <c r="C514" s="16">
        <v>42894.58384259259</v>
      </c>
      <c r="D514" s="17" t="s">
        <v>5</v>
      </c>
      <c r="E514" s="17" t="s">
        <v>36</v>
      </c>
      <c r="F514" s="16">
        <v>42894.584143518521</v>
      </c>
      <c r="G514" s="16"/>
      <c r="H514" s="16"/>
      <c r="I514" s="11">
        <v>718</v>
      </c>
      <c r="J514" s="54" t="str">
        <f t="shared" si="24"/>
        <v/>
      </c>
      <c r="K514" t="str">
        <f t="shared" si="25"/>
        <v/>
      </c>
      <c r="L514" t="str">
        <f t="shared" ref="L514:L543" si="26">IF(AND(A514&lt;&gt;A515, E514&lt;&gt;"FAS.T2.ETOOLS", K514="FAS.T2.ETOOLS"), "NO", IF(AND(A514=A515,L515="NO"), "NO", ""))</f>
        <v/>
      </c>
    </row>
    <row r="515" spans="1:12" hidden="1" x14ac:dyDescent="0.2">
      <c r="A515" s="17" t="s">
        <v>63</v>
      </c>
      <c r="B515" s="17" t="s">
        <v>37</v>
      </c>
      <c r="C515" s="16">
        <v>42894.58766203704</v>
      </c>
      <c r="D515" s="17" t="s">
        <v>5</v>
      </c>
      <c r="E515" s="17" t="s">
        <v>40</v>
      </c>
      <c r="F515" s="16">
        <v>42894.587731481479</v>
      </c>
      <c r="G515" s="16"/>
      <c r="H515" s="16"/>
      <c r="I515" s="11">
        <v>720</v>
      </c>
      <c r="J515" s="54" t="str">
        <f t="shared" si="24"/>
        <v/>
      </c>
      <c r="K515" t="str">
        <f t="shared" si="25"/>
        <v/>
      </c>
      <c r="L515" t="str">
        <f t="shared" si="26"/>
        <v/>
      </c>
    </row>
    <row r="516" spans="1:12" hidden="1" x14ac:dyDescent="0.2">
      <c r="A516" s="17" t="s">
        <v>63</v>
      </c>
      <c r="B516" s="17" t="s">
        <v>37</v>
      </c>
      <c r="C516" s="16">
        <v>42894.58766203704</v>
      </c>
      <c r="D516" s="17" t="s">
        <v>5</v>
      </c>
      <c r="E516" s="17" t="s">
        <v>36</v>
      </c>
      <c r="F516" s="16">
        <v>42894.593692129631</v>
      </c>
      <c r="G516" s="16"/>
      <c r="H516" s="16"/>
      <c r="I516" s="11">
        <v>721</v>
      </c>
      <c r="J516" s="54" t="str">
        <f t="shared" si="24"/>
        <v/>
      </c>
      <c r="K516" t="str">
        <f t="shared" si="25"/>
        <v/>
      </c>
      <c r="L516" t="str">
        <f t="shared" si="26"/>
        <v/>
      </c>
    </row>
    <row r="517" spans="1:12" hidden="1" x14ac:dyDescent="0.2">
      <c r="A517" s="17" t="s">
        <v>62</v>
      </c>
      <c r="B517" s="17" t="s">
        <v>37</v>
      </c>
      <c r="C517" s="16">
        <v>42894.607986111114</v>
      </c>
      <c r="D517" s="17" t="s">
        <v>5</v>
      </c>
      <c r="E517" s="17" t="s">
        <v>40</v>
      </c>
      <c r="F517" s="16">
        <v>42894.608101851853</v>
      </c>
      <c r="G517" s="16"/>
      <c r="H517" s="16"/>
      <c r="I517" s="11">
        <v>724</v>
      </c>
      <c r="J517" s="54" t="str">
        <f t="shared" si="24"/>
        <v/>
      </c>
      <c r="K517" t="str">
        <f t="shared" si="25"/>
        <v/>
      </c>
      <c r="L517" t="str">
        <f t="shared" si="26"/>
        <v/>
      </c>
    </row>
    <row r="518" spans="1:12" hidden="1" x14ac:dyDescent="0.2">
      <c r="A518" s="17" t="s">
        <v>62</v>
      </c>
      <c r="B518" s="17" t="s">
        <v>37</v>
      </c>
      <c r="C518" s="16">
        <v>42894.607986111114</v>
      </c>
      <c r="D518" s="17" t="s">
        <v>5</v>
      </c>
      <c r="E518" s="17" t="s">
        <v>36</v>
      </c>
      <c r="F518" s="16">
        <v>42894.608576388891</v>
      </c>
      <c r="G518" s="16"/>
      <c r="H518" s="16"/>
      <c r="I518" s="11">
        <v>725</v>
      </c>
      <c r="J518" s="54" t="str">
        <f t="shared" si="24"/>
        <v/>
      </c>
      <c r="K518" t="str">
        <f t="shared" si="25"/>
        <v/>
      </c>
      <c r="L518" t="str">
        <f t="shared" si="26"/>
        <v/>
      </c>
    </row>
    <row r="519" spans="1:12" hidden="1" x14ac:dyDescent="0.2">
      <c r="A519" s="17" t="s">
        <v>62</v>
      </c>
      <c r="B519" s="17" t="s">
        <v>37</v>
      </c>
      <c r="C519" s="16">
        <v>42894.607986111114</v>
      </c>
      <c r="D519" s="17" t="s">
        <v>5</v>
      </c>
      <c r="E519" s="17" t="s">
        <v>41</v>
      </c>
      <c r="F519" s="16">
        <v>42894.70412037037</v>
      </c>
      <c r="G519" s="16"/>
      <c r="H519" s="16"/>
      <c r="I519" s="11">
        <v>727</v>
      </c>
      <c r="J519" s="54" t="str">
        <f t="shared" si="24"/>
        <v/>
      </c>
      <c r="K519" t="str">
        <f t="shared" si="25"/>
        <v/>
      </c>
      <c r="L519" t="str">
        <f t="shared" si="26"/>
        <v/>
      </c>
    </row>
    <row r="520" spans="1:12" hidden="1" x14ac:dyDescent="0.2">
      <c r="A520" s="17" t="s">
        <v>59</v>
      </c>
      <c r="B520" s="17" t="s">
        <v>37</v>
      </c>
      <c r="C520" s="16">
        <v>42894.667500000003</v>
      </c>
      <c r="D520" s="17" t="s">
        <v>5</v>
      </c>
      <c r="E520" s="17" t="s">
        <v>40</v>
      </c>
      <c r="F520" s="16">
        <v>42894.667557870373</v>
      </c>
      <c r="G520" s="16"/>
      <c r="H520" s="16"/>
      <c r="I520" s="11">
        <v>729</v>
      </c>
      <c r="J520" s="54" t="str">
        <f t="shared" si="24"/>
        <v/>
      </c>
      <c r="K520" t="str">
        <f t="shared" si="25"/>
        <v/>
      </c>
      <c r="L520" t="str">
        <f t="shared" si="26"/>
        <v/>
      </c>
    </row>
    <row r="521" spans="1:12" hidden="1" x14ac:dyDescent="0.2">
      <c r="A521" s="17" t="s">
        <v>59</v>
      </c>
      <c r="B521" s="17" t="s">
        <v>37</v>
      </c>
      <c r="C521" s="16">
        <v>42894.667500000003</v>
      </c>
      <c r="D521" s="17" t="s">
        <v>5</v>
      </c>
      <c r="E521" s="17" t="s">
        <v>36</v>
      </c>
      <c r="F521" s="16">
        <v>42894.671493055554</v>
      </c>
      <c r="G521" s="16"/>
      <c r="H521" s="16"/>
      <c r="I521" s="11">
        <v>730</v>
      </c>
      <c r="J521" s="54" t="str">
        <f t="shared" si="24"/>
        <v/>
      </c>
      <c r="K521" t="str">
        <f t="shared" si="25"/>
        <v/>
      </c>
      <c r="L521" t="str">
        <f t="shared" si="26"/>
        <v/>
      </c>
    </row>
    <row r="522" spans="1:12" hidden="1" x14ac:dyDescent="0.2">
      <c r="A522" s="17" t="s">
        <v>58</v>
      </c>
      <c r="B522" s="17" t="s">
        <v>37</v>
      </c>
      <c r="C522" s="16">
        <v>42894.709293981483</v>
      </c>
      <c r="D522" s="17" t="s">
        <v>5</v>
      </c>
      <c r="E522" s="17" t="s">
        <v>40</v>
      </c>
      <c r="F522" s="16">
        <v>42894.709328703706</v>
      </c>
      <c r="G522" s="16"/>
      <c r="H522" s="16"/>
      <c r="I522" s="11">
        <v>732</v>
      </c>
      <c r="J522" s="54" t="str">
        <f t="shared" si="24"/>
        <v/>
      </c>
      <c r="K522" t="str">
        <f t="shared" si="25"/>
        <v/>
      </c>
      <c r="L522" t="str">
        <f t="shared" si="26"/>
        <v/>
      </c>
    </row>
    <row r="523" spans="1:12" hidden="1" x14ac:dyDescent="0.2">
      <c r="A523" s="17" t="s">
        <v>58</v>
      </c>
      <c r="B523" s="17" t="s">
        <v>37</v>
      </c>
      <c r="C523" s="16">
        <v>42894.709293981483</v>
      </c>
      <c r="D523" s="17" t="s">
        <v>5</v>
      </c>
      <c r="E523" s="17" t="s">
        <v>57</v>
      </c>
      <c r="F523" s="16">
        <v>42894.711296296293</v>
      </c>
      <c r="G523" s="16"/>
      <c r="H523" s="16"/>
      <c r="I523" s="11">
        <v>733</v>
      </c>
      <c r="J523" s="54" t="str">
        <f t="shared" si="24"/>
        <v/>
      </c>
      <c r="K523" t="str">
        <f t="shared" si="25"/>
        <v/>
      </c>
      <c r="L523" t="str">
        <f t="shared" si="26"/>
        <v/>
      </c>
    </row>
    <row r="524" spans="1:12" hidden="1" x14ac:dyDescent="0.2">
      <c r="A524" s="17" t="s">
        <v>55</v>
      </c>
      <c r="B524" s="17" t="s">
        <v>37</v>
      </c>
      <c r="C524" s="16">
        <v>42895.426678240743</v>
      </c>
      <c r="D524" s="17" t="s">
        <v>5</v>
      </c>
      <c r="E524" s="17" t="s">
        <v>40</v>
      </c>
      <c r="F524" s="16">
        <v>42895.426689814813</v>
      </c>
      <c r="G524" s="16"/>
      <c r="H524" s="16"/>
      <c r="I524" s="11">
        <v>734</v>
      </c>
      <c r="J524" s="54" t="str">
        <f t="shared" si="24"/>
        <v/>
      </c>
      <c r="K524" t="str">
        <f t="shared" si="25"/>
        <v/>
      </c>
      <c r="L524" t="str">
        <f t="shared" si="26"/>
        <v/>
      </c>
    </row>
    <row r="525" spans="1:12" hidden="1" x14ac:dyDescent="0.2">
      <c r="A525" s="17" t="s">
        <v>55</v>
      </c>
      <c r="B525" s="17" t="s">
        <v>37</v>
      </c>
      <c r="C525" s="16">
        <v>42895.426678240743</v>
      </c>
      <c r="D525" s="17" t="s">
        <v>5</v>
      </c>
      <c r="E525" s="17" t="s">
        <v>36</v>
      </c>
      <c r="F525" s="16">
        <v>42895.433310185188</v>
      </c>
      <c r="G525" s="16"/>
      <c r="H525" s="16"/>
      <c r="I525" s="11">
        <v>735</v>
      </c>
      <c r="J525" s="54" t="str">
        <f t="shared" si="24"/>
        <v/>
      </c>
      <c r="K525" t="str">
        <f t="shared" si="25"/>
        <v/>
      </c>
      <c r="L525" t="str">
        <f t="shared" si="26"/>
        <v/>
      </c>
    </row>
    <row r="526" spans="1:12" hidden="1" x14ac:dyDescent="0.2">
      <c r="A526" s="17" t="s">
        <v>52</v>
      </c>
      <c r="B526" s="17" t="s">
        <v>37</v>
      </c>
      <c r="C526" s="16">
        <v>42895.464629629627</v>
      </c>
      <c r="D526" s="17" t="s">
        <v>5</v>
      </c>
      <c r="E526" s="17" t="s">
        <v>40</v>
      </c>
      <c r="F526" s="16">
        <v>42895.464629629627</v>
      </c>
      <c r="G526" s="16"/>
      <c r="H526" s="16"/>
      <c r="I526" s="11">
        <v>737</v>
      </c>
      <c r="J526" s="54" t="str">
        <f t="shared" si="24"/>
        <v/>
      </c>
      <c r="K526" t="str">
        <f t="shared" si="25"/>
        <v/>
      </c>
      <c r="L526" t="str">
        <f t="shared" si="26"/>
        <v/>
      </c>
    </row>
    <row r="527" spans="1:12" hidden="1" x14ac:dyDescent="0.2">
      <c r="A527" s="17" t="s">
        <v>52</v>
      </c>
      <c r="B527" s="17" t="s">
        <v>37</v>
      </c>
      <c r="C527" s="16">
        <v>42895.464629629627</v>
      </c>
      <c r="D527" s="17" t="s">
        <v>5</v>
      </c>
      <c r="E527" s="17" t="s">
        <v>54</v>
      </c>
      <c r="F527" s="16">
        <v>42895.466238425928</v>
      </c>
      <c r="G527" s="16"/>
      <c r="H527" s="16"/>
      <c r="I527" s="11">
        <v>738</v>
      </c>
      <c r="J527" s="54" t="str">
        <f t="shared" si="24"/>
        <v/>
      </c>
      <c r="K527" t="str">
        <f t="shared" si="25"/>
        <v/>
      </c>
      <c r="L527" t="str">
        <f t="shared" si="26"/>
        <v/>
      </c>
    </row>
    <row r="528" spans="1:12" hidden="1" x14ac:dyDescent="0.2">
      <c r="A528" s="17" t="s">
        <v>52</v>
      </c>
      <c r="B528" s="17" t="s">
        <v>37</v>
      </c>
      <c r="C528" s="16">
        <v>42895.464629629627</v>
      </c>
      <c r="D528" s="17" t="s">
        <v>5</v>
      </c>
      <c r="E528" s="17" t="s">
        <v>53</v>
      </c>
      <c r="F528" s="16">
        <v>42895.585902777777</v>
      </c>
      <c r="G528" s="16"/>
      <c r="H528" s="16"/>
      <c r="I528" s="11">
        <v>739</v>
      </c>
      <c r="J528" s="54" t="str">
        <f t="shared" si="24"/>
        <v/>
      </c>
      <c r="K528" t="str">
        <f t="shared" si="25"/>
        <v/>
      </c>
      <c r="L528" t="str">
        <f t="shared" si="26"/>
        <v/>
      </c>
    </row>
    <row r="529" spans="1:12" hidden="1" x14ac:dyDescent="0.2">
      <c r="A529" s="17" t="s">
        <v>52</v>
      </c>
      <c r="B529" s="17" t="s">
        <v>37</v>
      </c>
      <c r="C529" s="16">
        <v>42895.464629629627</v>
      </c>
      <c r="D529" s="17" t="s">
        <v>5</v>
      </c>
      <c r="E529" s="17" t="s">
        <v>51</v>
      </c>
      <c r="F529" s="16">
        <v>42895.602256944447</v>
      </c>
      <c r="G529" s="16"/>
      <c r="H529" s="16"/>
      <c r="I529" s="11">
        <v>740</v>
      </c>
      <c r="J529" s="54" t="str">
        <f t="shared" si="24"/>
        <v/>
      </c>
      <c r="K529" t="str">
        <f t="shared" si="25"/>
        <v/>
      </c>
      <c r="L529" t="str">
        <f t="shared" si="26"/>
        <v/>
      </c>
    </row>
    <row r="530" spans="1:12" hidden="1" x14ac:dyDescent="0.2">
      <c r="A530" s="17" t="s">
        <v>50</v>
      </c>
      <c r="B530" s="17" t="s">
        <v>37</v>
      </c>
      <c r="C530" s="16">
        <v>42895.480243055557</v>
      </c>
      <c r="D530" s="17" t="s">
        <v>5</v>
      </c>
      <c r="E530" s="17" t="s">
        <v>40</v>
      </c>
      <c r="F530" s="16">
        <v>42895.48027777778</v>
      </c>
      <c r="G530" s="16"/>
      <c r="H530" s="16"/>
      <c r="I530" s="11">
        <v>741</v>
      </c>
      <c r="J530" s="54" t="str">
        <f t="shared" si="24"/>
        <v/>
      </c>
      <c r="K530" t="str">
        <f t="shared" si="25"/>
        <v/>
      </c>
      <c r="L530" t="str">
        <f t="shared" si="26"/>
        <v/>
      </c>
    </row>
    <row r="531" spans="1:12" hidden="1" x14ac:dyDescent="0.2">
      <c r="A531" s="17" t="s">
        <v>50</v>
      </c>
      <c r="B531" s="17" t="s">
        <v>37</v>
      </c>
      <c r="C531" s="16">
        <v>42895.480243055557</v>
      </c>
      <c r="D531" s="17" t="s">
        <v>5</v>
      </c>
      <c r="E531" s="17" t="s">
        <v>36</v>
      </c>
      <c r="F531" s="16">
        <v>42895.481620370374</v>
      </c>
      <c r="G531" s="16"/>
      <c r="H531" s="16"/>
      <c r="I531" s="11">
        <v>742</v>
      </c>
      <c r="J531" s="54" t="str">
        <f t="shared" si="24"/>
        <v/>
      </c>
      <c r="K531" t="str">
        <f t="shared" si="25"/>
        <v/>
      </c>
      <c r="L531" t="str">
        <f t="shared" si="26"/>
        <v/>
      </c>
    </row>
    <row r="532" spans="1:12" hidden="1" x14ac:dyDescent="0.2">
      <c r="A532" s="17" t="s">
        <v>50</v>
      </c>
      <c r="B532" s="17" t="s">
        <v>37</v>
      </c>
      <c r="C532" s="16">
        <v>42895.480243055557</v>
      </c>
      <c r="D532" s="17" t="s">
        <v>5</v>
      </c>
      <c r="E532" s="17" t="s">
        <v>46</v>
      </c>
      <c r="F532" s="16">
        <v>42895.572233796294</v>
      </c>
      <c r="G532" s="16"/>
      <c r="H532" s="16"/>
      <c r="I532" s="11">
        <v>744</v>
      </c>
      <c r="J532" s="54" t="str">
        <f t="shared" si="24"/>
        <v/>
      </c>
      <c r="K532" t="str">
        <f t="shared" si="25"/>
        <v>FAS.T2.ETOOLS</v>
      </c>
      <c r="L532" t="str">
        <f t="shared" si="26"/>
        <v/>
      </c>
    </row>
    <row r="533" spans="1:12" hidden="1" x14ac:dyDescent="0.2">
      <c r="A533" s="17" t="s">
        <v>48</v>
      </c>
      <c r="B533" s="17" t="s">
        <v>37</v>
      </c>
      <c r="C533" s="16">
        <v>42895.487881944442</v>
      </c>
      <c r="D533" s="17" t="s">
        <v>5</v>
      </c>
      <c r="E533" s="17" t="s">
        <v>40</v>
      </c>
      <c r="F533" s="16">
        <v>42895.487916666665</v>
      </c>
      <c r="G533" s="16"/>
      <c r="H533" s="16"/>
      <c r="I533" s="11">
        <v>746</v>
      </c>
      <c r="J533" s="54" t="str">
        <f t="shared" si="24"/>
        <v/>
      </c>
      <c r="K533" t="str">
        <f t="shared" si="25"/>
        <v/>
      </c>
      <c r="L533" t="str">
        <f t="shared" si="26"/>
        <v/>
      </c>
    </row>
    <row r="534" spans="1:12" hidden="1" x14ac:dyDescent="0.2">
      <c r="A534" s="17" t="s">
        <v>48</v>
      </c>
      <c r="B534" s="17" t="s">
        <v>37</v>
      </c>
      <c r="C534" s="16">
        <v>42895.487881944442</v>
      </c>
      <c r="D534" s="17" t="s">
        <v>5</v>
      </c>
      <c r="E534" s="17" t="s">
        <v>36</v>
      </c>
      <c r="F534" s="16">
        <v>42895.488263888888</v>
      </c>
      <c r="G534" s="16"/>
      <c r="H534" s="16"/>
      <c r="I534" s="11">
        <v>747</v>
      </c>
      <c r="J534" s="54" t="str">
        <f t="shared" si="24"/>
        <v/>
      </c>
      <c r="K534" t="str">
        <f t="shared" si="25"/>
        <v/>
      </c>
      <c r="L534" t="str">
        <f t="shared" si="26"/>
        <v/>
      </c>
    </row>
    <row r="535" spans="1:12" hidden="1" x14ac:dyDescent="0.2">
      <c r="A535" s="17" t="s">
        <v>45</v>
      </c>
      <c r="B535" s="17" t="s">
        <v>37</v>
      </c>
      <c r="C535" s="16">
        <v>42895.494143518517</v>
      </c>
      <c r="D535" s="17" t="s">
        <v>5</v>
      </c>
      <c r="E535" s="17" t="s">
        <v>40</v>
      </c>
      <c r="F535" s="16">
        <v>42895.494212962964</v>
      </c>
      <c r="G535" s="16"/>
      <c r="H535" s="16"/>
      <c r="I535" s="11">
        <v>749</v>
      </c>
      <c r="J535" s="54" t="str">
        <f t="shared" si="24"/>
        <v/>
      </c>
      <c r="K535" t="str">
        <f t="shared" si="25"/>
        <v/>
      </c>
      <c r="L535" t="str">
        <f t="shared" si="26"/>
        <v/>
      </c>
    </row>
    <row r="536" spans="1:12" hidden="1" x14ac:dyDescent="0.2">
      <c r="A536" s="17" t="s">
        <v>45</v>
      </c>
      <c r="B536" s="17" t="s">
        <v>37</v>
      </c>
      <c r="C536" s="16">
        <v>42895.494143518517</v>
      </c>
      <c r="D536" s="17" t="s">
        <v>5</v>
      </c>
      <c r="E536" s="17" t="s">
        <v>46</v>
      </c>
      <c r="F536" s="16">
        <v>42895.500590277778</v>
      </c>
      <c r="G536" s="16"/>
      <c r="H536" s="16"/>
      <c r="I536" s="11">
        <v>750</v>
      </c>
      <c r="J536" s="54" t="str">
        <f t="shared" si="24"/>
        <v/>
      </c>
      <c r="K536" t="str">
        <f t="shared" si="25"/>
        <v>FAS.T2.ETOOLS</v>
      </c>
      <c r="L536" t="str">
        <f t="shared" si="26"/>
        <v/>
      </c>
    </row>
    <row r="537" spans="1:12" hidden="1" x14ac:dyDescent="0.2">
      <c r="A537" s="17" t="s">
        <v>43</v>
      </c>
      <c r="B537" s="17" t="s">
        <v>37</v>
      </c>
      <c r="C537" s="16">
        <v>42895.51803240741</v>
      </c>
      <c r="D537" s="17" t="s">
        <v>5</v>
      </c>
      <c r="E537" s="17" t="s">
        <v>40</v>
      </c>
      <c r="F537" s="16">
        <v>42895.518090277779</v>
      </c>
      <c r="G537" s="16"/>
      <c r="H537" s="16"/>
      <c r="I537" s="11">
        <v>752</v>
      </c>
      <c r="J537" s="54" t="str">
        <f t="shared" si="24"/>
        <v/>
      </c>
      <c r="K537" t="str">
        <f t="shared" si="25"/>
        <v/>
      </c>
      <c r="L537" t="str">
        <f t="shared" si="26"/>
        <v/>
      </c>
    </row>
    <row r="538" spans="1:12" hidden="1" x14ac:dyDescent="0.2">
      <c r="A538" s="17" t="s">
        <v>43</v>
      </c>
      <c r="B538" s="17" t="s">
        <v>37</v>
      </c>
      <c r="C538" s="16">
        <v>42895.51803240741</v>
      </c>
      <c r="D538" s="17" t="s">
        <v>5</v>
      </c>
      <c r="E538" s="17" t="s">
        <v>36</v>
      </c>
      <c r="F538" s="16">
        <v>42895.518518518518</v>
      </c>
      <c r="G538" s="16"/>
      <c r="H538" s="16"/>
      <c r="I538" s="11">
        <v>753</v>
      </c>
      <c r="J538" s="54" t="str">
        <f t="shared" si="24"/>
        <v/>
      </c>
      <c r="K538" t="str">
        <f t="shared" si="25"/>
        <v/>
      </c>
      <c r="L538" t="str">
        <f t="shared" si="26"/>
        <v/>
      </c>
    </row>
    <row r="539" spans="1:12" hidden="1" x14ac:dyDescent="0.2">
      <c r="A539" s="17" t="s">
        <v>43</v>
      </c>
      <c r="B539" s="17" t="s">
        <v>37</v>
      </c>
      <c r="C539" s="16">
        <v>42895.51803240741</v>
      </c>
      <c r="D539" s="17" t="s">
        <v>5</v>
      </c>
      <c r="E539" s="17" t="s">
        <v>41</v>
      </c>
      <c r="F539" s="16">
        <v>42895.540462962963</v>
      </c>
      <c r="G539" s="16"/>
      <c r="H539" s="16"/>
      <c r="I539" s="11">
        <v>755</v>
      </c>
      <c r="J539" s="54" t="str">
        <f t="shared" si="24"/>
        <v/>
      </c>
      <c r="K539" t="str">
        <f t="shared" si="25"/>
        <v/>
      </c>
      <c r="L539" t="str">
        <f t="shared" si="26"/>
        <v/>
      </c>
    </row>
    <row r="540" spans="1:12" hidden="1" x14ac:dyDescent="0.2">
      <c r="A540" s="17" t="s">
        <v>42</v>
      </c>
      <c r="B540" s="17" t="s">
        <v>37</v>
      </c>
      <c r="C540" s="16">
        <v>42895.605613425927</v>
      </c>
      <c r="D540" s="17" t="s">
        <v>5</v>
      </c>
      <c r="E540" s="17" t="s">
        <v>40</v>
      </c>
      <c r="F540" s="16">
        <v>42895.605613425927</v>
      </c>
      <c r="G540" s="16"/>
      <c r="H540" s="16"/>
      <c r="I540" s="11">
        <v>756</v>
      </c>
      <c r="J540" s="54" t="str">
        <f t="shared" si="24"/>
        <v/>
      </c>
      <c r="K540" t="str">
        <f t="shared" si="25"/>
        <v/>
      </c>
      <c r="L540" t="str">
        <f t="shared" si="26"/>
        <v/>
      </c>
    </row>
    <row r="541" spans="1:12" hidden="1" x14ac:dyDescent="0.2">
      <c r="A541" s="17" t="s">
        <v>42</v>
      </c>
      <c r="B541" s="17" t="s">
        <v>37</v>
      </c>
      <c r="C541" s="16">
        <v>42895.605613425927</v>
      </c>
      <c r="D541" s="17" t="s">
        <v>5</v>
      </c>
      <c r="E541" s="17" t="s">
        <v>36</v>
      </c>
      <c r="F541" s="16">
        <v>42895.607546296298</v>
      </c>
      <c r="G541" s="16"/>
      <c r="H541" s="16"/>
      <c r="I541" s="11">
        <v>757</v>
      </c>
      <c r="J541" s="54" t="str">
        <f t="shared" si="24"/>
        <v/>
      </c>
      <c r="K541" t="str">
        <f t="shared" si="25"/>
        <v/>
      </c>
      <c r="L541" t="str">
        <f t="shared" si="26"/>
        <v/>
      </c>
    </row>
    <row r="542" spans="1:12" hidden="1" x14ac:dyDescent="0.2">
      <c r="A542" s="17" t="s">
        <v>42</v>
      </c>
      <c r="B542" s="17" t="s">
        <v>37</v>
      </c>
      <c r="C542" s="16">
        <v>42895.605613425927</v>
      </c>
      <c r="D542" s="17" t="s">
        <v>5</v>
      </c>
      <c r="E542" s="17" t="s">
        <v>41</v>
      </c>
      <c r="F542" s="16">
        <v>42895.661932870367</v>
      </c>
      <c r="G542" s="16"/>
      <c r="H542" s="16"/>
      <c r="I542" s="11">
        <v>758</v>
      </c>
      <c r="J542" s="54" t="str">
        <f t="shared" si="24"/>
        <v/>
      </c>
      <c r="K542" t="str">
        <f t="shared" si="25"/>
        <v/>
      </c>
      <c r="L542" t="str">
        <f t="shared" si="26"/>
        <v/>
      </c>
    </row>
    <row r="543" spans="1:12" hidden="1" x14ac:dyDescent="0.2">
      <c r="A543" s="17" t="s">
        <v>38</v>
      </c>
      <c r="B543" s="17" t="s">
        <v>37</v>
      </c>
      <c r="C543" s="16">
        <v>42895.711817129632</v>
      </c>
      <c r="D543" s="17" t="s">
        <v>5</v>
      </c>
      <c r="E543" s="17" t="s">
        <v>40</v>
      </c>
      <c r="F543" s="16">
        <v>42895.711851851855</v>
      </c>
      <c r="G543" s="16"/>
      <c r="H543" s="16"/>
      <c r="I543" s="11">
        <v>759</v>
      </c>
      <c r="J543" s="54" t="str">
        <f t="shared" si="24"/>
        <v/>
      </c>
      <c r="K543" t="str">
        <f t="shared" si="25"/>
        <v/>
      </c>
      <c r="L543" t="str">
        <f t="shared" si="26"/>
        <v/>
      </c>
    </row>
    <row r="544" spans="1:12" hidden="1" x14ac:dyDescent="0.2">
      <c r="A544" s="17" t="s">
        <v>38</v>
      </c>
      <c r="B544" s="17" t="s">
        <v>37</v>
      </c>
      <c r="C544" s="16">
        <v>42895.711817129632</v>
      </c>
      <c r="D544" s="17" t="s">
        <v>5</v>
      </c>
      <c r="E544" s="17" t="s">
        <v>36</v>
      </c>
      <c r="F544" s="16">
        <v>42895.722986111112</v>
      </c>
      <c r="G544" s="16"/>
      <c r="H544" s="16"/>
      <c r="I544" s="11">
        <v>760</v>
      </c>
      <c r="J544" s="54" t="str">
        <f t="shared" si="24"/>
        <v/>
      </c>
      <c r="K544" t="str">
        <f t="shared" si="25"/>
        <v/>
      </c>
      <c r="L544" t="str">
        <f t="shared" ref="L514:L544" si="27">IF(AND(A544&lt;&gt;A545, E544&lt;&gt;"FAS.T2.ETOOLS", K544="FAS.T2.ETOOLS"), "NO", IF(AND(A544=A545,L545="NO"), "NO", ""))</f>
        <v/>
      </c>
    </row>
    <row r="545" spans="1:8" x14ac:dyDescent="0.2">
      <c r="A545" s="17"/>
      <c r="B545" s="17"/>
      <c r="C545" s="16"/>
      <c r="D545" s="17"/>
      <c r="E545" s="17"/>
      <c r="F545" s="16"/>
      <c r="G545" s="16"/>
      <c r="H545" s="16"/>
    </row>
    <row r="546" spans="1:8" x14ac:dyDescent="0.2">
      <c r="A546" s="17"/>
      <c r="B546" s="17"/>
      <c r="C546" s="16"/>
      <c r="D546" s="17"/>
      <c r="E546" s="17"/>
      <c r="F546" s="16"/>
      <c r="G546" s="16"/>
      <c r="H546" s="16"/>
    </row>
    <row r="547" spans="1:8" x14ac:dyDescent="0.2">
      <c r="A547" s="17"/>
      <c r="B547" s="17"/>
      <c r="C547" s="16"/>
      <c r="D547" s="17"/>
      <c r="E547" s="17"/>
      <c r="F547" s="16"/>
      <c r="G547" s="16"/>
      <c r="H547" s="16"/>
    </row>
    <row r="548" spans="1:8" x14ac:dyDescent="0.2">
      <c r="A548" s="17"/>
      <c r="B548" s="17"/>
      <c r="C548" s="16"/>
      <c r="D548" s="17"/>
      <c r="E548" s="17"/>
      <c r="F548" s="16"/>
      <c r="G548" s="16"/>
      <c r="H548" s="16"/>
    </row>
    <row r="549" spans="1:8" x14ac:dyDescent="0.2">
      <c r="A549" s="17"/>
      <c r="B549" s="17"/>
      <c r="C549" s="16"/>
      <c r="D549" s="17"/>
      <c r="E549" s="17"/>
      <c r="F549" s="16"/>
      <c r="G549" s="16"/>
      <c r="H549" s="16"/>
    </row>
    <row r="550" spans="1:8" x14ac:dyDescent="0.2">
      <c r="A550" s="17"/>
      <c r="B550" s="17"/>
      <c r="C550" s="16"/>
      <c r="D550" s="17"/>
      <c r="E550" s="17"/>
      <c r="F550" s="16"/>
      <c r="G550" s="16"/>
      <c r="H550" s="16"/>
    </row>
    <row r="551" spans="1:8" x14ac:dyDescent="0.2">
      <c r="A551" s="17"/>
      <c r="B551" s="17"/>
      <c r="C551" s="16"/>
      <c r="D551" s="17"/>
      <c r="E551" s="17"/>
      <c r="F551" s="16"/>
      <c r="G551" s="16"/>
      <c r="H551" s="16"/>
    </row>
    <row r="552" spans="1:8" x14ac:dyDescent="0.2">
      <c r="A552" s="17"/>
      <c r="B552" s="17"/>
      <c r="C552" s="16"/>
      <c r="D552" s="17"/>
      <c r="E552" s="17"/>
      <c r="F552" s="16"/>
      <c r="G552" s="16"/>
      <c r="H552" s="16"/>
    </row>
    <row r="553" spans="1:8" x14ac:dyDescent="0.2">
      <c r="A553" s="17"/>
      <c r="B553" s="17"/>
      <c r="C553" s="16"/>
      <c r="D553" s="17"/>
      <c r="E553" s="17"/>
      <c r="F553" s="16"/>
      <c r="G553" s="16"/>
      <c r="H553" s="16"/>
    </row>
    <row r="554" spans="1:8" x14ac:dyDescent="0.2">
      <c r="A554" s="17"/>
      <c r="B554" s="17"/>
      <c r="C554" s="16"/>
      <c r="D554" s="17"/>
      <c r="E554" s="17"/>
      <c r="F554" s="16"/>
      <c r="G554" s="16"/>
      <c r="H554" s="16"/>
    </row>
    <row r="555" spans="1:8" x14ac:dyDescent="0.2">
      <c r="A555" s="17"/>
      <c r="B555" s="17"/>
      <c r="C555" s="16"/>
      <c r="D555" s="17"/>
      <c r="E555" s="17"/>
      <c r="F555" s="16"/>
      <c r="G555" s="16"/>
      <c r="H555" s="16"/>
    </row>
    <row r="556" spans="1:8" x14ac:dyDescent="0.2">
      <c r="A556" s="17"/>
      <c r="B556" s="17"/>
      <c r="C556" s="16"/>
      <c r="D556" s="17"/>
      <c r="E556" s="17"/>
      <c r="F556" s="16"/>
      <c r="G556" s="16"/>
      <c r="H556" s="16"/>
    </row>
    <row r="557" spans="1:8" x14ac:dyDescent="0.2">
      <c r="A557" s="17"/>
      <c r="B557" s="17"/>
      <c r="C557" s="16"/>
      <c r="D557" s="17"/>
      <c r="E557" s="17"/>
      <c r="F557" s="16"/>
      <c r="G557" s="16"/>
      <c r="H557" s="16"/>
    </row>
    <row r="558" spans="1:8" x14ac:dyDescent="0.2">
      <c r="A558" s="17"/>
      <c r="B558" s="17"/>
      <c r="C558" s="16"/>
      <c r="D558" s="17"/>
      <c r="E558" s="17"/>
      <c r="F558" s="16"/>
      <c r="G558" s="16"/>
      <c r="H558" s="16"/>
    </row>
    <row r="559" spans="1:8" x14ac:dyDescent="0.2">
      <c r="A559" s="17"/>
      <c r="B559" s="17"/>
      <c r="C559" s="16"/>
      <c r="D559" s="17"/>
      <c r="E559" s="17"/>
      <c r="F559" s="16"/>
      <c r="G559" s="16"/>
      <c r="H559" s="16"/>
    </row>
    <row r="560" spans="1:8" x14ac:dyDescent="0.2">
      <c r="A560" s="17"/>
      <c r="B560" s="17"/>
      <c r="C560" s="16"/>
      <c r="D560" s="17"/>
      <c r="E560" s="17"/>
      <c r="F560" s="16"/>
      <c r="G560" s="16"/>
      <c r="H560" s="16"/>
    </row>
    <row r="561" spans="1:8" x14ac:dyDescent="0.2">
      <c r="A561" s="17"/>
      <c r="B561" s="17"/>
      <c r="C561" s="16"/>
      <c r="D561" s="17"/>
      <c r="E561" s="17"/>
      <c r="F561" s="16"/>
      <c r="G561" s="16"/>
      <c r="H561" s="16"/>
    </row>
    <row r="562" spans="1:8" x14ac:dyDescent="0.2">
      <c r="A562" s="17"/>
      <c r="B562" s="17"/>
      <c r="C562" s="16"/>
      <c r="D562" s="17"/>
      <c r="E562" s="17"/>
      <c r="F562" s="16"/>
      <c r="G562" s="16"/>
      <c r="H562" s="16"/>
    </row>
    <row r="563" spans="1:8" x14ac:dyDescent="0.2">
      <c r="A563" s="17"/>
      <c r="B563" s="17"/>
      <c r="C563" s="16"/>
      <c r="D563" s="17"/>
      <c r="E563" s="17"/>
      <c r="F563" s="16"/>
      <c r="G563" s="16"/>
      <c r="H563" s="16"/>
    </row>
    <row r="564" spans="1:8" x14ac:dyDescent="0.2">
      <c r="A564" s="17"/>
      <c r="B564" s="17"/>
      <c r="C564" s="16"/>
      <c r="D564" s="17"/>
      <c r="E564" s="17"/>
      <c r="F564" s="16"/>
      <c r="G564" s="16"/>
      <c r="H564" s="16"/>
    </row>
    <row r="565" spans="1:8" x14ac:dyDescent="0.2">
      <c r="A565" s="17"/>
      <c r="B565" s="17"/>
      <c r="C565" s="16"/>
      <c r="D565" s="17"/>
      <c r="E565" s="17"/>
      <c r="F565" s="16"/>
      <c r="G565" s="16"/>
      <c r="H565" s="16"/>
    </row>
    <row r="566" spans="1:8" x14ac:dyDescent="0.2">
      <c r="A566" s="17"/>
      <c r="B566" s="17"/>
      <c r="C566" s="16"/>
      <c r="D566" s="17"/>
      <c r="E566" s="17"/>
      <c r="F566" s="16"/>
      <c r="G566" s="16"/>
      <c r="H566" s="16"/>
    </row>
    <row r="567" spans="1:8" x14ac:dyDescent="0.2">
      <c r="A567" s="17"/>
      <c r="B567" s="17"/>
      <c r="C567" s="16"/>
      <c r="D567" s="17"/>
      <c r="E567" s="17"/>
      <c r="F567" s="16"/>
      <c r="G567" s="16"/>
      <c r="H567" s="16"/>
    </row>
    <row r="568" spans="1:8" x14ac:dyDescent="0.2">
      <c r="A568" s="17"/>
      <c r="B568" s="17"/>
      <c r="C568" s="16"/>
      <c r="D568" s="17"/>
      <c r="E568" s="17"/>
      <c r="F568" s="16"/>
      <c r="G568" s="16"/>
      <c r="H568" s="16"/>
    </row>
    <row r="569" spans="1:8" x14ac:dyDescent="0.2">
      <c r="A569" s="17"/>
      <c r="B569" s="17"/>
      <c r="C569" s="16"/>
      <c r="D569" s="17"/>
      <c r="E569" s="17"/>
      <c r="F569" s="16"/>
      <c r="G569" s="16"/>
      <c r="H569" s="16"/>
    </row>
    <row r="570" spans="1:8" x14ac:dyDescent="0.2">
      <c r="A570" s="17"/>
      <c r="B570" s="17"/>
      <c r="C570" s="16"/>
      <c r="D570" s="17"/>
      <c r="E570" s="17"/>
      <c r="F570" s="16"/>
      <c r="G570" s="16"/>
      <c r="H570" s="16"/>
    </row>
    <row r="571" spans="1:8" x14ac:dyDescent="0.2">
      <c r="A571" s="17"/>
      <c r="B571" s="17"/>
      <c r="C571" s="16"/>
      <c r="D571" s="17"/>
      <c r="E571" s="17"/>
      <c r="F571" s="16"/>
      <c r="G571" s="16"/>
      <c r="H571" s="16"/>
    </row>
    <row r="572" spans="1:8" x14ac:dyDescent="0.2">
      <c r="A572" s="17"/>
      <c r="B572" s="17"/>
      <c r="C572" s="16"/>
      <c r="D572" s="17"/>
      <c r="E572" s="17"/>
      <c r="F572" s="16"/>
      <c r="G572" s="16"/>
      <c r="H572" s="16"/>
    </row>
    <row r="573" spans="1:8" x14ac:dyDescent="0.2">
      <c r="A573" s="17"/>
      <c r="B573" s="17"/>
      <c r="C573" s="16"/>
      <c r="D573" s="17"/>
      <c r="E573" s="17"/>
      <c r="F573" s="16"/>
      <c r="G573" s="16"/>
      <c r="H573" s="16"/>
    </row>
    <row r="574" spans="1:8" x14ac:dyDescent="0.2">
      <c r="A574" s="17"/>
      <c r="B574" s="17"/>
      <c r="C574" s="16"/>
      <c r="D574" s="17"/>
      <c r="E574" s="17"/>
      <c r="F574" s="16"/>
      <c r="G574" s="16"/>
      <c r="H574" s="16"/>
    </row>
    <row r="575" spans="1:8" x14ac:dyDescent="0.2">
      <c r="A575" s="17"/>
      <c r="B575" s="17"/>
      <c r="C575" s="16"/>
      <c r="D575" s="17"/>
      <c r="E575" s="17"/>
      <c r="F575" s="16"/>
      <c r="G575" s="16"/>
      <c r="H575" s="16"/>
    </row>
    <row r="576" spans="1:8" x14ac:dyDescent="0.2">
      <c r="A576" s="17"/>
      <c r="B576" s="17"/>
      <c r="C576" s="16"/>
      <c r="D576" s="17"/>
      <c r="E576" s="17"/>
      <c r="F576" s="16"/>
      <c r="G576" s="16"/>
      <c r="H576" s="16"/>
    </row>
    <row r="577" spans="1:8" x14ac:dyDescent="0.2">
      <c r="A577" s="17"/>
      <c r="B577" s="17"/>
      <c r="C577" s="16"/>
      <c r="D577" s="17"/>
      <c r="E577" s="17"/>
      <c r="F577" s="16"/>
      <c r="G577" s="16"/>
      <c r="H577" s="16"/>
    </row>
    <row r="578" spans="1:8" x14ac:dyDescent="0.2">
      <c r="A578" s="17"/>
      <c r="B578" s="17"/>
      <c r="C578" s="16"/>
      <c r="D578" s="17"/>
      <c r="E578" s="17"/>
      <c r="F578" s="16"/>
      <c r="G578" s="16"/>
      <c r="H578" s="16"/>
    </row>
    <row r="579" spans="1:8" x14ac:dyDescent="0.2">
      <c r="A579" s="17"/>
      <c r="B579" s="17"/>
      <c r="C579" s="16"/>
      <c r="D579" s="17"/>
      <c r="E579" s="17"/>
      <c r="F579" s="16"/>
      <c r="G579" s="16"/>
      <c r="H579" s="16"/>
    </row>
    <row r="580" spans="1:8" x14ac:dyDescent="0.2">
      <c r="A580" s="17"/>
      <c r="B580" s="17"/>
      <c r="C580" s="16"/>
      <c r="D580" s="17"/>
      <c r="E580" s="17"/>
      <c r="F580" s="16"/>
      <c r="G580" s="16"/>
      <c r="H580" s="16"/>
    </row>
    <row r="581" spans="1:8" x14ac:dyDescent="0.2">
      <c r="A581" s="17"/>
      <c r="B581" s="17"/>
      <c r="C581" s="16"/>
      <c r="D581" s="17"/>
      <c r="E581" s="17"/>
      <c r="F581" s="16"/>
      <c r="G581" s="16"/>
      <c r="H581" s="16"/>
    </row>
    <row r="582" spans="1:8" x14ac:dyDescent="0.2">
      <c r="A582" s="17"/>
      <c r="B582" s="17"/>
      <c r="C582" s="16"/>
      <c r="D582" s="17"/>
      <c r="E582" s="17"/>
      <c r="F582" s="16"/>
      <c r="G582" s="16"/>
      <c r="H582" s="16"/>
    </row>
    <row r="583" spans="1:8" x14ac:dyDescent="0.2">
      <c r="A583" s="17"/>
      <c r="B583" s="17"/>
      <c r="C583" s="16"/>
      <c r="D583" s="17"/>
      <c r="E583" s="17"/>
      <c r="F583" s="16"/>
      <c r="G583" s="16"/>
      <c r="H583" s="16"/>
    </row>
    <row r="584" spans="1:8" x14ac:dyDescent="0.2">
      <c r="A584" s="17"/>
      <c r="B584" s="17"/>
      <c r="C584" s="16"/>
      <c r="D584" s="17"/>
      <c r="E584" s="17"/>
      <c r="F584" s="16"/>
      <c r="G584" s="16"/>
      <c r="H584" s="16"/>
    </row>
    <row r="585" spans="1:8" x14ac:dyDescent="0.2">
      <c r="A585" s="17"/>
      <c r="B585" s="17"/>
      <c r="C585" s="16"/>
      <c r="D585" s="17"/>
      <c r="E585" s="17"/>
      <c r="F585" s="16"/>
      <c r="G585" s="16"/>
      <c r="H585" s="16"/>
    </row>
    <row r="586" spans="1:8" x14ac:dyDescent="0.2">
      <c r="A586" s="17"/>
      <c r="B586" s="17"/>
      <c r="C586" s="16"/>
      <c r="D586" s="17"/>
      <c r="E586" s="17"/>
      <c r="F586" s="16"/>
      <c r="G586" s="16"/>
      <c r="H586" s="16"/>
    </row>
    <row r="587" spans="1:8" x14ac:dyDescent="0.2">
      <c r="A587" s="17"/>
      <c r="B587" s="17"/>
      <c r="C587" s="16"/>
      <c r="D587" s="17"/>
      <c r="E587" s="17"/>
      <c r="F587" s="16"/>
      <c r="G587" s="16"/>
      <c r="H587" s="16"/>
    </row>
    <row r="588" spans="1:8" x14ac:dyDescent="0.2">
      <c r="A588" s="17"/>
      <c r="B588" s="17"/>
      <c r="C588" s="16"/>
      <c r="D588" s="17"/>
      <c r="E588" s="17"/>
      <c r="F588" s="16"/>
      <c r="G588" s="16"/>
      <c r="H588" s="16"/>
    </row>
    <row r="589" spans="1:8" x14ac:dyDescent="0.2">
      <c r="A589" s="17"/>
      <c r="B589" s="17"/>
      <c r="C589" s="16"/>
      <c r="D589" s="17"/>
      <c r="E589" s="17"/>
      <c r="F589" s="16"/>
      <c r="G589" s="16"/>
      <c r="H589" s="16"/>
    </row>
    <row r="590" spans="1:8" x14ac:dyDescent="0.2">
      <c r="A590" s="17"/>
      <c r="B590" s="17"/>
      <c r="C590" s="16"/>
      <c r="D590" s="17"/>
      <c r="E590" s="17"/>
      <c r="F590" s="16"/>
      <c r="G590" s="16"/>
      <c r="H590" s="16"/>
    </row>
    <row r="591" spans="1:8" x14ac:dyDescent="0.2">
      <c r="A591" s="17"/>
      <c r="B591" s="17"/>
      <c r="C591" s="16"/>
      <c r="D591" s="17"/>
      <c r="E591" s="17"/>
      <c r="F591" s="16"/>
      <c r="G591" s="16"/>
      <c r="H591" s="16"/>
    </row>
    <row r="592" spans="1:8" x14ac:dyDescent="0.2">
      <c r="A592" s="17"/>
      <c r="B592" s="17"/>
      <c r="C592" s="16"/>
      <c r="D592" s="17"/>
      <c r="E592" s="17"/>
      <c r="F592" s="16"/>
      <c r="G592" s="16"/>
      <c r="H592" s="16"/>
    </row>
    <row r="593" spans="1:8" x14ac:dyDescent="0.2">
      <c r="A593" s="17"/>
      <c r="B593" s="17"/>
      <c r="C593" s="16"/>
      <c r="D593" s="17"/>
      <c r="E593" s="17"/>
      <c r="F593" s="16"/>
      <c r="G593" s="16"/>
      <c r="H593" s="16"/>
    </row>
    <row r="594" spans="1:8" x14ac:dyDescent="0.2">
      <c r="A594" s="17"/>
      <c r="B594" s="17"/>
      <c r="C594" s="16"/>
      <c r="D594" s="17"/>
      <c r="E594" s="17"/>
      <c r="F594" s="16"/>
      <c r="G594" s="16"/>
      <c r="H594" s="16"/>
    </row>
    <row r="595" spans="1:8" x14ac:dyDescent="0.2">
      <c r="A595" s="17"/>
      <c r="B595" s="17"/>
      <c r="C595" s="16"/>
      <c r="D595" s="17"/>
      <c r="E595" s="17"/>
      <c r="F595" s="16"/>
      <c r="G595" s="16"/>
      <c r="H595" s="16"/>
    </row>
    <row r="596" spans="1:8" x14ac:dyDescent="0.2">
      <c r="A596" s="17"/>
      <c r="B596" s="17"/>
      <c r="C596" s="16"/>
      <c r="D596" s="17"/>
      <c r="E596" s="17"/>
      <c r="F596" s="16"/>
      <c r="G596" s="16"/>
      <c r="H596" s="16"/>
    </row>
    <row r="597" spans="1:8" x14ac:dyDescent="0.2">
      <c r="A597" s="17"/>
      <c r="B597" s="17"/>
      <c r="C597" s="16"/>
      <c r="D597" s="17"/>
      <c r="E597" s="17"/>
      <c r="F597" s="16"/>
      <c r="G597" s="16"/>
      <c r="H597" s="16"/>
    </row>
    <row r="598" spans="1:8" x14ac:dyDescent="0.2">
      <c r="A598" s="17"/>
      <c r="B598" s="17"/>
      <c r="C598" s="16"/>
      <c r="D598" s="17"/>
      <c r="E598" s="17"/>
      <c r="F598" s="16"/>
      <c r="G598" s="16"/>
      <c r="H598" s="16"/>
    </row>
    <row r="599" spans="1:8" x14ac:dyDescent="0.2">
      <c r="A599" s="17"/>
      <c r="B599" s="17"/>
      <c r="C599" s="16"/>
      <c r="D599" s="17"/>
      <c r="E599" s="17"/>
      <c r="F599" s="16"/>
      <c r="G599" s="16"/>
      <c r="H599" s="16"/>
    </row>
    <row r="600" spans="1:8" x14ac:dyDescent="0.2">
      <c r="A600" s="17"/>
      <c r="B600" s="17"/>
      <c r="C600" s="16"/>
      <c r="D600" s="17"/>
      <c r="E600" s="17"/>
      <c r="F600" s="16"/>
      <c r="G600" s="16"/>
      <c r="H600" s="16"/>
    </row>
    <row r="601" spans="1:8" x14ac:dyDescent="0.2">
      <c r="A601" s="17"/>
      <c r="B601" s="17"/>
      <c r="C601" s="16"/>
      <c r="D601" s="17"/>
      <c r="E601" s="17"/>
      <c r="F601" s="16"/>
      <c r="G601" s="16"/>
      <c r="H601" s="16"/>
    </row>
    <row r="602" spans="1:8" x14ac:dyDescent="0.2">
      <c r="A602" s="17"/>
      <c r="B602" s="17"/>
      <c r="C602" s="16"/>
      <c r="D602" s="17"/>
      <c r="E602" s="17"/>
      <c r="F602" s="16"/>
      <c r="G602" s="16"/>
      <c r="H602" s="16"/>
    </row>
    <row r="603" spans="1:8" x14ac:dyDescent="0.2">
      <c r="A603" s="17"/>
      <c r="B603" s="17"/>
      <c r="C603" s="16"/>
      <c r="D603" s="17"/>
      <c r="E603" s="17"/>
      <c r="F603" s="16"/>
      <c r="G603" s="16"/>
      <c r="H603" s="16"/>
    </row>
    <row r="604" spans="1:8" x14ac:dyDescent="0.2">
      <c r="A604" s="17"/>
      <c r="B604" s="17"/>
      <c r="C604" s="16"/>
      <c r="D604" s="17"/>
      <c r="E604" s="17"/>
      <c r="F604" s="16"/>
      <c r="G604" s="16"/>
      <c r="H604" s="16"/>
    </row>
    <row r="605" spans="1:8" x14ac:dyDescent="0.2">
      <c r="A605" s="17"/>
      <c r="B605" s="17"/>
      <c r="C605" s="16"/>
      <c r="D605" s="17"/>
      <c r="E605" s="17"/>
      <c r="F605" s="16"/>
      <c r="G605" s="16"/>
      <c r="H605" s="16"/>
    </row>
    <row r="606" spans="1:8" x14ac:dyDescent="0.2">
      <c r="A606" s="17"/>
      <c r="B606" s="17"/>
      <c r="C606" s="16"/>
      <c r="D606" s="17"/>
      <c r="E606" s="17"/>
      <c r="F606" s="16"/>
      <c r="G606" s="16"/>
      <c r="H606" s="16"/>
    </row>
    <row r="607" spans="1:8" x14ac:dyDescent="0.2">
      <c r="A607" s="17"/>
      <c r="B607" s="17"/>
      <c r="C607" s="16"/>
      <c r="D607" s="17"/>
      <c r="E607" s="17"/>
      <c r="F607" s="16"/>
      <c r="G607" s="16"/>
      <c r="H607" s="16"/>
    </row>
    <row r="608" spans="1:8" x14ac:dyDescent="0.2">
      <c r="A608" s="17"/>
      <c r="B608" s="17"/>
      <c r="C608" s="16"/>
      <c r="D608" s="17"/>
      <c r="E608" s="17"/>
      <c r="F608" s="16"/>
      <c r="G608" s="16"/>
      <c r="H608" s="16"/>
    </row>
    <row r="609" spans="1:8" x14ac:dyDescent="0.2">
      <c r="A609" s="17"/>
      <c r="B609" s="17"/>
      <c r="C609" s="16"/>
      <c r="D609" s="17"/>
      <c r="E609" s="17"/>
      <c r="F609" s="16"/>
      <c r="G609" s="16"/>
      <c r="H609" s="16"/>
    </row>
    <row r="610" spans="1:8" x14ac:dyDescent="0.2">
      <c r="A610" s="17"/>
      <c r="B610" s="17"/>
      <c r="C610" s="16"/>
      <c r="D610" s="17"/>
      <c r="E610" s="17"/>
      <c r="F610" s="16"/>
      <c r="G610" s="16"/>
      <c r="H610" s="16"/>
    </row>
    <row r="611" spans="1:8" x14ac:dyDescent="0.2">
      <c r="A611" s="17"/>
      <c r="B611" s="17"/>
      <c r="C611" s="16"/>
      <c r="D611" s="17"/>
      <c r="E611" s="17"/>
      <c r="F611" s="16"/>
      <c r="G611" s="16"/>
      <c r="H611" s="16"/>
    </row>
    <row r="612" spans="1:8" x14ac:dyDescent="0.2">
      <c r="A612" s="17"/>
      <c r="B612" s="17"/>
      <c r="C612" s="16"/>
      <c r="D612" s="17"/>
      <c r="E612" s="17"/>
      <c r="F612" s="16"/>
      <c r="G612" s="16"/>
      <c r="H612" s="16"/>
    </row>
    <row r="613" spans="1:8" x14ac:dyDescent="0.2">
      <c r="A613" s="17"/>
      <c r="B613" s="17"/>
      <c r="C613" s="16"/>
      <c r="D613" s="17"/>
      <c r="E613" s="17"/>
      <c r="F613" s="16"/>
      <c r="G613" s="16"/>
      <c r="H613" s="16"/>
    </row>
    <row r="614" spans="1:8" x14ac:dyDescent="0.2">
      <c r="A614" s="17"/>
      <c r="B614" s="17"/>
      <c r="C614" s="16"/>
      <c r="D614" s="17"/>
      <c r="E614" s="17"/>
      <c r="F614" s="16"/>
      <c r="G614" s="16"/>
      <c r="H614" s="16"/>
    </row>
    <row r="615" spans="1:8" x14ac:dyDescent="0.2">
      <c r="A615" s="17"/>
      <c r="B615" s="17"/>
      <c r="C615" s="16"/>
      <c r="D615" s="17"/>
      <c r="E615" s="17"/>
      <c r="F615" s="16"/>
      <c r="G615" s="16"/>
      <c r="H615" s="16"/>
    </row>
    <row r="616" spans="1:8" x14ac:dyDescent="0.2">
      <c r="A616" s="17"/>
      <c r="B616" s="17"/>
      <c r="C616" s="16"/>
      <c r="D616" s="17"/>
      <c r="E616" s="17"/>
      <c r="F616" s="16"/>
      <c r="G616" s="16"/>
      <c r="H616" s="16"/>
    </row>
    <row r="617" spans="1:8" x14ac:dyDescent="0.2">
      <c r="A617" s="17"/>
      <c r="B617" s="17"/>
      <c r="C617" s="16"/>
      <c r="D617" s="17"/>
      <c r="E617" s="17"/>
      <c r="F617" s="16"/>
      <c r="G617" s="16"/>
      <c r="H617" s="16"/>
    </row>
    <row r="618" spans="1:8" x14ac:dyDescent="0.2">
      <c r="A618" s="17"/>
      <c r="B618" s="17"/>
      <c r="C618" s="16"/>
      <c r="D618" s="17"/>
      <c r="E618" s="17"/>
      <c r="F618" s="16"/>
      <c r="G618" s="16"/>
      <c r="H618" s="16"/>
    </row>
    <row r="619" spans="1:8" x14ac:dyDescent="0.2">
      <c r="A619" s="17"/>
      <c r="B619" s="17"/>
      <c r="C619" s="16"/>
      <c r="D619" s="17"/>
      <c r="E619" s="17"/>
      <c r="F619" s="16"/>
      <c r="G619" s="16"/>
      <c r="H619" s="16"/>
    </row>
    <row r="620" spans="1:8" x14ac:dyDescent="0.2">
      <c r="A620" s="17"/>
      <c r="B620" s="17"/>
      <c r="C620" s="16"/>
      <c r="D620" s="17"/>
      <c r="E620" s="17"/>
      <c r="F620" s="16"/>
      <c r="G620" s="16"/>
      <c r="H620" s="16"/>
    </row>
    <row r="621" spans="1:8" x14ac:dyDescent="0.2">
      <c r="A621" s="17"/>
      <c r="B621" s="17"/>
      <c r="C621" s="16"/>
      <c r="D621" s="17"/>
      <c r="E621" s="17"/>
      <c r="F621" s="16"/>
      <c r="G621" s="16"/>
      <c r="H621" s="16"/>
    </row>
    <row r="622" spans="1:8" x14ac:dyDescent="0.2">
      <c r="A622" s="17"/>
      <c r="B622" s="17"/>
      <c r="C622" s="16"/>
      <c r="D622" s="17"/>
      <c r="E622" s="17"/>
      <c r="F622" s="16"/>
      <c r="G622" s="16"/>
      <c r="H622" s="16"/>
    </row>
    <row r="623" spans="1:8" x14ac:dyDescent="0.2">
      <c r="A623" s="17"/>
      <c r="B623" s="17"/>
      <c r="C623" s="16"/>
      <c r="D623" s="17"/>
      <c r="E623" s="17"/>
      <c r="F623" s="16"/>
      <c r="G623" s="16"/>
      <c r="H623" s="16"/>
    </row>
    <row r="624" spans="1:8" x14ac:dyDescent="0.2">
      <c r="A624" s="17"/>
      <c r="B624" s="17"/>
      <c r="C624" s="16"/>
      <c r="D624" s="17"/>
      <c r="E624" s="17"/>
      <c r="F624" s="16"/>
      <c r="G624" s="16"/>
      <c r="H624" s="16"/>
    </row>
    <row r="625" spans="1:8" x14ac:dyDescent="0.2">
      <c r="A625" s="17"/>
      <c r="B625" s="17"/>
      <c r="C625" s="16"/>
      <c r="D625" s="17"/>
      <c r="E625" s="17"/>
      <c r="F625" s="16"/>
      <c r="G625" s="16"/>
      <c r="H625" s="16"/>
    </row>
    <row r="626" spans="1:8" x14ac:dyDescent="0.2">
      <c r="A626" s="17"/>
      <c r="B626" s="17"/>
      <c r="C626" s="16"/>
      <c r="D626" s="17"/>
      <c r="E626" s="17"/>
      <c r="F626" s="16"/>
      <c r="G626" s="16"/>
      <c r="H626" s="16"/>
    </row>
    <row r="627" spans="1:8" x14ac:dyDescent="0.2">
      <c r="A627" s="17"/>
      <c r="B627" s="17"/>
      <c r="C627" s="16"/>
      <c r="D627" s="17"/>
      <c r="E627" s="17"/>
      <c r="F627" s="16"/>
      <c r="G627" s="16"/>
      <c r="H627" s="16"/>
    </row>
    <row r="628" spans="1:8" x14ac:dyDescent="0.2">
      <c r="A628" s="17"/>
      <c r="B628" s="17"/>
      <c r="C628" s="16"/>
      <c r="D628" s="17"/>
      <c r="E628" s="17"/>
      <c r="F628" s="16"/>
      <c r="G628" s="16"/>
      <c r="H628" s="16"/>
    </row>
    <row r="629" spans="1:8" x14ac:dyDescent="0.2">
      <c r="A629" s="17"/>
      <c r="B629" s="17"/>
      <c r="C629" s="16"/>
      <c r="D629" s="17"/>
      <c r="E629" s="17"/>
      <c r="F629" s="16"/>
      <c r="G629" s="16"/>
      <c r="H629" s="16"/>
    </row>
    <row r="630" spans="1:8" x14ac:dyDescent="0.2">
      <c r="A630" s="17"/>
      <c r="B630" s="17"/>
      <c r="C630" s="16"/>
      <c r="D630" s="17"/>
      <c r="E630" s="17"/>
      <c r="F630" s="16"/>
      <c r="G630" s="16"/>
      <c r="H630" s="16"/>
    </row>
    <row r="631" spans="1:8" x14ac:dyDescent="0.2">
      <c r="A631" s="17"/>
      <c r="B631" s="17"/>
      <c r="C631" s="16"/>
      <c r="D631" s="17"/>
      <c r="E631" s="17"/>
      <c r="F631" s="16"/>
      <c r="G631" s="16"/>
      <c r="H631" s="16"/>
    </row>
    <row r="632" spans="1:8" x14ac:dyDescent="0.2">
      <c r="A632" s="17"/>
      <c r="B632" s="17"/>
      <c r="C632" s="16"/>
      <c r="D632" s="17"/>
      <c r="E632" s="17"/>
      <c r="F632" s="16"/>
      <c r="G632" s="16"/>
      <c r="H632" s="16"/>
    </row>
    <row r="633" spans="1:8" x14ac:dyDescent="0.2">
      <c r="A633" s="17"/>
      <c r="B633" s="17"/>
      <c r="C633" s="16"/>
      <c r="D633" s="17"/>
      <c r="E633" s="17"/>
      <c r="F633" s="16"/>
      <c r="G633" s="16"/>
      <c r="H633" s="16"/>
    </row>
    <row r="634" spans="1:8" x14ac:dyDescent="0.2">
      <c r="A634" s="17"/>
      <c r="B634" s="17"/>
      <c r="C634" s="16"/>
      <c r="D634" s="17"/>
      <c r="E634" s="17"/>
      <c r="F634" s="16"/>
      <c r="G634" s="16"/>
      <c r="H634" s="16"/>
    </row>
    <row r="635" spans="1:8" x14ac:dyDescent="0.2">
      <c r="A635" s="17"/>
      <c r="B635" s="17"/>
      <c r="C635" s="16"/>
      <c r="D635" s="17"/>
      <c r="E635" s="17"/>
      <c r="F635" s="16"/>
      <c r="G635" s="16"/>
      <c r="H635" s="16"/>
    </row>
    <row r="636" spans="1:8" x14ac:dyDescent="0.2">
      <c r="A636" s="17"/>
      <c r="B636" s="17"/>
      <c r="C636" s="16"/>
      <c r="D636" s="17"/>
      <c r="E636" s="17"/>
      <c r="F636" s="16"/>
      <c r="G636" s="16"/>
      <c r="H636" s="16"/>
    </row>
    <row r="637" spans="1:8" x14ac:dyDescent="0.2">
      <c r="A637" s="17"/>
      <c r="B637" s="17"/>
      <c r="C637" s="16"/>
      <c r="D637" s="17"/>
      <c r="E637" s="17"/>
      <c r="F637" s="16"/>
      <c r="G637" s="16"/>
      <c r="H637" s="16"/>
    </row>
    <row r="638" spans="1:8" x14ac:dyDescent="0.2">
      <c r="A638" s="17"/>
      <c r="B638" s="17"/>
      <c r="C638" s="16"/>
      <c r="D638" s="17"/>
      <c r="E638" s="17"/>
      <c r="F638" s="16"/>
      <c r="G638" s="16"/>
      <c r="H638" s="16"/>
    </row>
    <row r="639" spans="1:8" x14ac:dyDescent="0.2">
      <c r="A639" s="17"/>
      <c r="B639" s="17"/>
      <c r="C639" s="16"/>
      <c r="D639" s="17"/>
      <c r="E639" s="17"/>
      <c r="F639" s="16"/>
      <c r="G639" s="16"/>
      <c r="H639" s="16"/>
    </row>
    <row r="640" spans="1:8" x14ac:dyDescent="0.2">
      <c r="A640" s="17"/>
      <c r="B640" s="17"/>
      <c r="C640" s="16"/>
      <c r="D640" s="17"/>
      <c r="E640" s="17"/>
      <c r="F640" s="16"/>
      <c r="G640" s="16"/>
      <c r="H640" s="16"/>
    </row>
    <row r="641" spans="1:8" x14ac:dyDescent="0.2">
      <c r="A641" s="17"/>
      <c r="B641" s="17"/>
      <c r="C641" s="16"/>
      <c r="D641" s="17"/>
      <c r="E641" s="17"/>
      <c r="F641" s="16"/>
      <c r="G641" s="16"/>
      <c r="H641" s="16"/>
    </row>
    <row r="642" spans="1:8" x14ac:dyDescent="0.2">
      <c r="A642" s="17"/>
      <c r="B642" s="17"/>
      <c r="C642" s="16"/>
      <c r="D642" s="17"/>
      <c r="E642" s="17"/>
      <c r="F642" s="16"/>
      <c r="G642" s="16"/>
      <c r="H642" s="16"/>
    </row>
    <row r="643" spans="1:8" x14ac:dyDescent="0.2">
      <c r="A643" s="17"/>
      <c r="B643" s="17"/>
      <c r="C643" s="16"/>
      <c r="D643" s="17"/>
      <c r="E643" s="17"/>
      <c r="F643" s="16"/>
      <c r="G643" s="16"/>
      <c r="H643" s="16"/>
    </row>
    <row r="644" spans="1:8" x14ac:dyDescent="0.2">
      <c r="A644" s="17"/>
      <c r="B644" s="17"/>
      <c r="C644" s="16"/>
      <c r="D644" s="17"/>
      <c r="E644" s="17"/>
      <c r="F644" s="16"/>
      <c r="G644" s="16"/>
      <c r="H644" s="16"/>
    </row>
    <row r="645" spans="1:8" x14ac:dyDescent="0.2">
      <c r="A645" s="17"/>
      <c r="B645" s="17"/>
      <c r="C645" s="16"/>
      <c r="D645" s="17"/>
      <c r="E645" s="17"/>
      <c r="F645" s="16"/>
      <c r="G645" s="16"/>
      <c r="H645" s="16"/>
    </row>
    <row r="646" spans="1:8" x14ac:dyDescent="0.2">
      <c r="A646" s="17"/>
      <c r="B646" s="17"/>
      <c r="C646" s="16"/>
      <c r="D646" s="17"/>
      <c r="E646" s="17"/>
      <c r="F646" s="16"/>
      <c r="G646" s="16"/>
      <c r="H646" s="16"/>
    </row>
    <row r="647" spans="1:8" x14ac:dyDescent="0.2">
      <c r="A647" s="17"/>
      <c r="B647" s="17"/>
      <c r="C647" s="16"/>
      <c r="D647" s="17"/>
      <c r="E647" s="17"/>
      <c r="F647" s="16"/>
      <c r="G647" s="16"/>
      <c r="H647" s="16"/>
    </row>
    <row r="648" spans="1:8" x14ac:dyDescent="0.2">
      <c r="A648" s="17"/>
      <c r="B648" s="17"/>
      <c r="C648" s="16"/>
      <c r="D648" s="17"/>
      <c r="E648" s="17"/>
      <c r="F648" s="16"/>
      <c r="G648" s="16"/>
      <c r="H648" s="16"/>
    </row>
    <row r="649" spans="1:8" x14ac:dyDescent="0.2">
      <c r="A649" s="17"/>
      <c r="B649" s="17"/>
      <c r="C649" s="16"/>
      <c r="D649" s="17"/>
      <c r="E649" s="17"/>
      <c r="F649" s="16"/>
      <c r="G649" s="16"/>
      <c r="H649" s="16"/>
    </row>
    <row r="650" spans="1:8" x14ac:dyDescent="0.2">
      <c r="A650" s="17"/>
      <c r="B650" s="17"/>
      <c r="C650" s="16"/>
      <c r="D650" s="17"/>
      <c r="E650" s="17"/>
      <c r="F650" s="16"/>
      <c r="G650" s="16"/>
      <c r="H650" s="16"/>
    </row>
    <row r="651" spans="1:8" x14ac:dyDescent="0.2">
      <c r="A651" s="17"/>
      <c r="B651" s="17"/>
      <c r="C651" s="16"/>
      <c r="D651" s="17"/>
      <c r="E651" s="17"/>
      <c r="F651" s="16"/>
      <c r="G651" s="16"/>
      <c r="H651" s="16"/>
    </row>
    <row r="652" spans="1:8" x14ac:dyDescent="0.2">
      <c r="A652" s="17"/>
      <c r="B652" s="17"/>
      <c r="C652" s="16"/>
      <c r="D652" s="17"/>
      <c r="E652" s="17"/>
      <c r="F652" s="16"/>
      <c r="G652" s="16"/>
      <c r="H652" s="16"/>
    </row>
    <row r="653" spans="1:8" x14ac:dyDescent="0.2">
      <c r="A653" s="17"/>
      <c r="B653" s="17"/>
      <c r="C653" s="16"/>
      <c r="D653" s="17"/>
      <c r="E653" s="17"/>
      <c r="F653" s="16"/>
      <c r="G653" s="16"/>
      <c r="H653" s="16"/>
    </row>
    <row r="654" spans="1:8" x14ac:dyDescent="0.2">
      <c r="A654" s="17"/>
      <c r="B654" s="17"/>
      <c r="C654" s="16"/>
      <c r="D654" s="17"/>
      <c r="E654" s="17"/>
      <c r="F654" s="16"/>
      <c r="G654" s="16"/>
      <c r="H654" s="16"/>
    </row>
    <row r="655" spans="1:8" x14ac:dyDescent="0.2">
      <c r="A655" s="17"/>
      <c r="B655" s="17"/>
      <c r="C655" s="16"/>
      <c r="D655" s="17"/>
      <c r="E655" s="17"/>
      <c r="F655" s="16"/>
      <c r="G655" s="16"/>
      <c r="H655" s="16"/>
    </row>
    <row r="656" spans="1:8" x14ac:dyDescent="0.2">
      <c r="A656" s="17"/>
      <c r="B656" s="17"/>
      <c r="C656" s="16"/>
      <c r="D656" s="17"/>
      <c r="E656" s="17"/>
      <c r="F656" s="16"/>
      <c r="G656" s="16"/>
      <c r="H656" s="16"/>
    </row>
    <row r="657" spans="1:8" x14ac:dyDescent="0.2">
      <c r="A657" s="17"/>
      <c r="B657" s="17"/>
      <c r="C657" s="16"/>
      <c r="D657" s="17"/>
      <c r="E657" s="17"/>
      <c r="F657" s="16"/>
      <c r="G657" s="16"/>
      <c r="H657" s="16"/>
    </row>
    <row r="658" spans="1:8" x14ac:dyDescent="0.2">
      <c r="A658" s="17"/>
      <c r="B658" s="17"/>
      <c r="C658" s="16"/>
      <c r="D658" s="17"/>
      <c r="E658" s="17"/>
      <c r="F658" s="16"/>
      <c r="G658" s="16"/>
      <c r="H658" s="16"/>
    </row>
    <row r="659" spans="1:8" x14ac:dyDescent="0.2">
      <c r="A659" s="17"/>
      <c r="B659" s="17"/>
      <c r="C659" s="16"/>
      <c r="D659" s="17"/>
      <c r="E659" s="17"/>
      <c r="F659" s="16"/>
      <c r="G659" s="16"/>
      <c r="H659" s="16"/>
    </row>
    <row r="660" spans="1:8" x14ac:dyDescent="0.2">
      <c r="A660" s="17"/>
      <c r="B660" s="17"/>
      <c r="C660" s="16"/>
      <c r="D660" s="17"/>
      <c r="E660" s="17"/>
      <c r="F660" s="16"/>
      <c r="G660" s="16"/>
      <c r="H660" s="16"/>
    </row>
    <row r="661" spans="1:8" x14ac:dyDescent="0.2">
      <c r="A661" s="17"/>
      <c r="B661" s="17"/>
      <c r="C661" s="16"/>
      <c r="D661" s="17"/>
      <c r="E661" s="17"/>
      <c r="F661" s="16"/>
      <c r="G661" s="16"/>
      <c r="H661" s="16"/>
    </row>
    <row r="662" spans="1:8" x14ac:dyDescent="0.2">
      <c r="A662" s="17"/>
      <c r="B662" s="17"/>
      <c r="C662" s="16"/>
      <c r="D662" s="17"/>
      <c r="E662" s="17"/>
      <c r="F662" s="16"/>
      <c r="G662" s="16"/>
      <c r="H662" s="16"/>
    </row>
    <row r="663" spans="1:8" x14ac:dyDescent="0.2">
      <c r="A663" s="17"/>
      <c r="B663" s="17"/>
      <c r="C663" s="16"/>
      <c r="D663" s="17"/>
      <c r="E663" s="17"/>
      <c r="F663" s="16"/>
      <c r="G663" s="16"/>
      <c r="H663" s="16"/>
    </row>
    <row r="664" spans="1:8" x14ac:dyDescent="0.2">
      <c r="A664" s="17"/>
      <c r="B664" s="17"/>
      <c r="C664" s="16"/>
      <c r="D664" s="17"/>
      <c r="E664" s="17"/>
      <c r="F664" s="16"/>
      <c r="G664" s="16"/>
      <c r="H664" s="16"/>
    </row>
    <row r="665" spans="1:8" x14ac:dyDescent="0.2">
      <c r="A665" s="17"/>
      <c r="B665" s="17"/>
      <c r="C665" s="16"/>
      <c r="D665" s="17"/>
      <c r="E665" s="17"/>
      <c r="F665" s="16"/>
      <c r="G665" s="16"/>
      <c r="H665" s="16"/>
    </row>
    <row r="666" spans="1:8" x14ac:dyDescent="0.2">
      <c r="A666" s="17"/>
      <c r="B666" s="17"/>
      <c r="C666" s="16"/>
      <c r="D666" s="17"/>
      <c r="E666" s="17"/>
      <c r="F666" s="16"/>
      <c r="G666" s="16"/>
      <c r="H666" s="16"/>
    </row>
    <row r="667" spans="1:8" x14ac:dyDescent="0.2">
      <c r="A667" s="17"/>
      <c r="B667" s="17"/>
      <c r="C667" s="16"/>
      <c r="D667" s="17"/>
      <c r="E667" s="17"/>
      <c r="F667" s="16"/>
      <c r="G667" s="16"/>
      <c r="H667" s="16"/>
    </row>
    <row r="668" spans="1:8" x14ac:dyDescent="0.2">
      <c r="A668" s="17"/>
      <c r="B668" s="17"/>
      <c r="C668" s="16"/>
      <c r="D668" s="17"/>
      <c r="E668" s="17"/>
      <c r="F668" s="16"/>
      <c r="G668" s="16"/>
      <c r="H668" s="16"/>
    </row>
    <row r="669" spans="1:8" x14ac:dyDescent="0.2">
      <c r="A669" s="17"/>
      <c r="B669" s="17"/>
      <c r="C669" s="16"/>
      <c r="D669" s="17"/>
      <c r="E669" s="17"/>
      <c r="F669" s="16"/>
      <c r="G669" s="16"/>
      <c r="H669" s="16"/>
    </row>
    <row r="670" spans="1:8" x14ac:dyDescent="0.2">
      <c r="A670" s="17"/>
      <c r="B670" s="17"/>
      <c r="C670" s="16"/>
      <c r="D670" s="17"/>
      <c r="E670" s="17"/>
      <c r="F670" s="16"/>
      <c r="G670" s="16"/>
      <c r="H670" s="16"/>
    </row>
    <row r="671" spans="1:8" x14ac:dyDescent="0.2">
      <c r="A671" s="17"/>
      <c r="B671" s="17"/>
      <c r="C671" s="16"/>
      <c r="D671" s="17"/>
      <c r="E671" s="17"/>
      <c r="F671" s="16"/>
      <c r="G671" s="16"/>
      <c r="H671" s="16"/>
    </row>
    <row r="672" spans="1:8" x14ac:dyDescent="0.2">
      <c r="A672" s="17"/>
      <c r="B672" s="17"/>
      <c r="C672" s="16"/>
      <c r="D672" s="17"/>
      <c r="E672" s="17"/>
      <c r="F672" s="16"/>
      <c r="G672" s="16"/>
      <c r="H672" s="16"/>
    </row>
    <row r="673" spans="1:8" x14ac:dyDescent="0.2">
      <c r="A673" s="17"/>
      <c r="B673" s="17"/>
      <c r="C673" s="16"/>
      <c r="D673" s="17"/>
      <c r="E673" s="17"/>
      <c r="F673" s="16"/>
      <c r="G673" s="16"/>
      <c r="H673" s="16"/>
    </row>
    <row r="674" spans="1:8" x14ac:dyDescent="0.2">
      <c r="A674" s="17"/>
      <c r="B674" s="17"/>
      <c r="C674" s="16"/>
      <c r="D674" s="17"/>
      <c r="E674" s="17"/>
      <c r="F674" s="16"/>
      <c r="G674" s="16"/>
      <c r="H674" s="16"/>
    </row>
    <row r="675" spans="1:8" x14ac:dyDescent="0.2">
      <c r="A675" s="17"/>
      <c r="B675" s="17"/>
      <c r="C675" s="16"/>
      <c r="D675" s="17"/>
      <c r="E675" s="17"/>
      <c r="F675" s="16"/>
      <c r="G675" s="16"/>
      <c r="H675" s="16"/>
    </row>
    <row r="676" spans="1:8" x14ac:dyDescent="0.2">
      <c r="A676" s="17"/>
      <c r="B676" s="17"/>
      <c r="C676" s="16"/>
      <c r="D676" s="17"/>
      <c r="E676" s="17"/>
      <c r="F676" s="16"/>
      <c r="G676" s="16"/>
      <c r="H676" s="16"/>
    </row>
    <row r="677" spans="1:8" x14ac:dyDescent="0.2">
      <c r="A677" s="17"/>
      <c r="B677" s="17"/>
      <c r="C677" s="16"/>
      <c r="D677" s="17"/>
      <c r="E677" s="17"/>
      <c r="F677" s="16"/>
      <c r="G677" s="16"/>
      <c r="H677" s="16"/>
    </row>
    <row r="678" spans="1:8" x14ac:dyDescent="0.2">
      <c r="A678" s="17"/>
      <c r="B678" s="17"/>
      <c r="C678" s="16"/>
      <c r="D678" s="17"/>
      <c r="E678" s="17"/>
      <c r="F678" s="16"/>
      <c r="G678" s="16"/>
      <c r="H678" s="16"/>
    </row>
    <row r="679" spans="1:8" x14ac:dyDescent="0.2">
      <c r="A679" s="17"/>
      <c r="B679" s="17"/>
      <c r="C679" s="16"/>
      <c r="D679" s="17"/>
      <c r="E679" s="17"/>
      <c r="F679" s="16"/>
      <c r="G679" s="16"/>
      <c r="H679" s="16"/>
    </row>
    <row r="680" spans="1:8" x14ac:dyDescent="0.2">
      <c r="A680" s="17"/>
      <c r="B680" s="17"/>
      <c r="C680" s="16"/>
      <c r="D680" s="17"/>
      <c r="E680" s="17"/>
      <c r="F680" s="16"/>
      <c r="G680" s="16"/>
      <c r="H680" s="16"/>
    </row>
    <row r="681" spans="1:8" x14ac:dyDescent="0.2">
      <c r="A681" s="17"/>
      <c r="B681" s="17"/>
      <c r="C681" s="16"/>
      <c r="D681" s="17"/>
      <c r="E681" s="17"/>
      <c r="F681" s="16"/>
      <c r="G681" s="16"/>
      <c r="H681" s="16"/>
    </row>
    <row r="682" spans="1:8" x14ac:dyDescent="0.2">
      <c r="A682" s="17"/>
      <c r="B682" s="17"/>
      <c r="C682" s="16"/>
      <c r="D682" s="17"/>
      <c r="E682" s="17"/>
      <c r="F682" s="16"/>
      <c r="G682" s="16"/>
      <c r="H682" s="16"/>
    </row>
    <row r="683" spans="1:8" x14ac:dyDescent="0.2">
      <c r="A683" s="17"/>
      <c r="B683" s="17"/>
      <c r="C683" s="16"/>
      <c r="D683" s="17"/>
      <c r="E683" s="17"/>
      <c r="F683" s="16"/>
      <c r="G683" s="16"/>
      <c r="H683" s="16"/>
    </row>
    <row r="684" spans="1:8" x14ac:dyDescent="0.2">
      <c r="A684" s="17"/>
      <c r="B684" s="17"/>
      <c r="C684" s="16"/>
      <c r="D684" s="17"/>
      <c r="E684" s="17"/>
      <c r="F684" s="16"/>
      <c r="G684" s="16"/>
      <c r="H684" s="16"/>
    </row>
    <row r="685" spans="1:8" x14ac:dyDescent="0.2">
      <c r="A685" s="17"/>
      <c r="B685" s="17"/>
      <c r="C685" s="16"/>
      <c r="D685" s="17"/>
      <c r="E685" s="17"/>
      <c r="F685" s="16"/>
      <c r="G685" s="16"/>
      <c r="H685" s="16"/>
    </row>
    <row r="686" spans="1:8" x14ac:dyDescent="0.2">
      <c r="A686" s="17"/>
      <c r="B686" s="17"/>
      <c r="C686" s="16"/>
      <c r="D686" s="17"/>
      <c r="E686" s="17"/>
      <c r="F686" s="16"/>
      <c r="G686" s="16"/>
      <c r="H686" s="16"/>
    </row>
    <row r="687" spans="1:8" x14ac:dyDescent="0.2">
      <c r="A687" s="17"/>
      <c r="B687" s="17"/>
      <c r="C687" s="16"/>
      <c r="D687" s="17"/>
      <c r="E687" s="17"/>
      <c r="F687" s="16"/>
      <c r="G687" s="16"/>
      <c r="H687" s="16"/>
    </row>
    <row r="688" spans="1:8" x14ac:dyDescent="0.2">
      <c r="A688" s="17"/>
      <c r="B688" s="17"/>
      <c r="C688" s="16"/>
      <c r="D688" s="17"/>
      <c r="E688" s="17"/>
      <c r="F688" s="16"/>
      <c r="G688" s="16"/>
      <c r="H688" s="16"/>
    </row>
    <row r="689" spans="1:8" x14ac:dyDescent="0.2">
      <c r="A689" s="17"/>
      <c r="B689" s="17"/>
      <c r="C689" s="16"/>
      <c r="D689" s="17"/>
      <c r="E689" s="17"/>
      <c r="F689" s="16"/>
      <c r="G689" s="16"/>
      <c r="H689" s="16"/>
    </row>
    <row r="690" spans="1:8" x14ac:dyDescent="0.2">
      <c r="A690" s="17"/>
      <c r="B690" s="17"/>
      <c r="C690" s="16"/>
      <c r="D690" s="17"/>
      <c r="E690" s="17"/>
      <c r="F690" s="16"/>
      <c r="G690" s="16"/>
      <c r="H690" s="16"/>
    </row>
    <row r="691" spans="1:8" x14ac:dyDescent="0.2">
      <c r="A691" s="17"/>
      <c r="B691" s="17"/>
      <c r="C691" s="16"/>
      <c r="D691" s="17"/>
      <c r="E691" s="17"/>
      <c r="F691" s="16"/>
      <c r="G691" s="16"/>
      <c r="H691" s="16"/>
    </row>
    <row r="692" spans="1:8" x14ac:dyDescent="0.2">
      <c r="A692" s="17"/>
      <c r="B692" s="17"/>
      <c r="C692" s="16"/>
      <c r="D692" s="17"/>
      <c r="E692" s="17"/>
      <c r="F692" s="16"/>
      <c r="G692" s="16"/>
      <c r="H692" s="16"/>
    </row>
    <row r="693" spans="1:8" x14ac:dyDescent="0.2">
      <c r="A693" s="17"/>
      <c r="B693" s="17"/>
      <c r="C693" s="16"/>
      <c r="D693" s="17"/>
      <c r="E693" s="17"/>
      <c r="F693" s="16"/>
      <c r="G693" s="16"/>
      <c r="H693" s="16"/>
    </row>
    <row r="694" spans="1:8" x14ac:dyDescent="0.2">
      <c r="A694" s="17"/>
      <c r="B694" s="17"/>
      <c r="C694" s="16"/>
      <c r="D694" s="17"/>
      <c r="E694" s="17"/>
      <c r="F694" s="16"/>
      <c r="G694" s="16"/>
      <c r="H694" s="16"/>
    </row>
    <row r="695" spans="1:8" x14ac:dyDescent="0.2">
      <c r="A695" s="17"/>
      <c r="B695" s="17"/>
      <c r="C695" s="16"/>
      <c r="D695" s="17"/>
      <c r="E695" s="17"/>
      <c r="F695" s="16"/>
      <c r="G695" s="16"/>
      <c r="H695" s="16"/>
    </row>
    <row r="696" spans="1:8" x14ac:dyDescent="0.2">
      <c r="A696" s="17"/>
      <c r="B696" s="17"/>
      <c r="C696" s="16"/>
      <c r="D696" s="17"/>
      <c r="E696" s="17"/>
      <c r="F696" s="16"/>
      <c r="G696" s="16"/>
      <c r="H696" s="16"/>
    </row>
    <row r="697" spans="1:8" x14ac:dyDescent="0.2">
      <c r="A697" s="17"/>
      <c r="B697" s="17"/>
      <c r="C697" s="16"/>
      <c r="D697" s="17"/>
      <c r="E697" s="17"/>
      <c r="F697" s="16"/>
      <c r="G697" s="16"/>
      <c r="H697" s="16"/>
    </row>
    <row r="698" spans="1:8" x14ac:dyDescent="0.2">
      <c r="A698" s="17"/>
      <c r="B698" s="17"/>
      <c r="C698" s="16"/>
      <c r="D698" s="17"/>
      <c r="E698" s="17"/>
      <c r="F698" s="16"/>
      <c r="G698" s="16"/>
      <c r="H698" s="16"/>
    </row>
    <row r="699" spans="1:8" x14ac:dyDescent="0.2">
      <c r="A699" s="17"/>
      <c r="B699" s="17"/>
      <c r="C699" s="16"/>
      <c r="D699" s="17"/>
      <c r="E699" s="17"/>
      <c r="F699" s="16"/>
      <c r="G699" s="16"/>
      <c r="H699" s="16"/>
    </row>
    <row r="700" spans="1:8" x14ac:dyDescent="0.2">
      <c r="A700" s="17"/>
      <c r="B700" s="17"/>
      <c r="C700" s="16"/>
      <c r="D700" s="17"/>
      <c r="E700" s="17"/>
      <c r="F700" s="16"/>
      <c r="G700" s="16"/>
      <c r="H700" s="16"/>
    </row>
    <row r="701" spans="1:8" x14ac:dyDescent="0.2">
      <c r="A701" s="17"/>
      <c r="B701" s="17"/>
      <c r="C701" s="16"/>
      <c r="D701" s="17"/>
      <c r="E701" s="17"/>
      <c r="F701" s="16"/>
      <c r="G701" s="16"/>
      <c r="H701" s="16"/>
    </row>
    <row r="702" spans="1:8" x14ac:dyDescent="0.2">
      <c r="A702" s="17"/>
      <c r="B702" s="17"/>
      <c r="C702" s="16"/>
      <c r="D702" s="17"/>
      <c r="E702" s="17"/>
      <c r="F702" s="16"/>
      <c r="G702" s="16"/>
      <c r="H702" s="16"/>
    </row>
    <row r="703" spans="1:8" x14ac:dyDescent="0.2">
      <c r="A703" s="17"/>
      <c r="B703" s="17"/>
      <c r="C703" s="16"/>
      <c r="D703" s="17"/>
      <c r="E703" s="17"/>
      <c r="F703" s="16"/>
      <c r="G703" s="16"/>
      <c r="H703" s="16"/>
    </row>
    <row r="704" spans="1:8" x14ac:dyDescent="0.2">
      <c r="A704" s="17"/>
      <c r="B704" s="17"/>
      <c r="C704" s="16"/>
      <c r="D704" s="17"/>
      <c r="E704" s="17"/>
      <c r="F704" s="16"/>
      <c r="G704" s="16"/>
      <c r="H704" s="16"/>
    </row>
    <row r="705" spans="1:8" x14ac:dyDescent="0.2">
      <c r="A705" s="17"/>
      <c r="B705" s="17"/>
      <c r="C705" s="16"/>
      <c r="D705" s="17"/>
      <c r="E705" s="17"/>
      <c r="F705" s="16"/>
      <c r="G705" s="16"/>
      <c r="H705" s="16"/>
    </row>
    <row r="706" spans="1:8" x14ac:dyDescent="0.2">
      <c r="A706" s="17"/>
      <c r="B706" s="17"/>
      <c r="C706" s="16"/>
      <c r="D706" s="17"/>
      <c r="E706" s="17"/>
      <c r="F706" s="16"/>
      <c r="G706" s="16"/>
      <c r="H706" s="16"/>
    </row>
    <row r="707" spans="1:8" x14ac:dyDescent="0.2">
      <c r="A707" s="17"/>
      <c r="B707" s="17"/>
      <c r="C707" s="16"/>
      <c r="D707" s="17"/>
      <c r="E707" s="17"/>
      <c r="F707" s="16"/>
      <c r="G707" s="16"/>
      <c r="H707" s="16"/>
    </row>
    <row r="708" spans="1:8" x14ac:dyDescent="0.2">
      <c r="A708" s="17"/>
      <c r="B708" s="17"/>
      <c r="C708" s="16"/>
      <c r="D708" s="17"/>
      <c r="E708" s="17"/>
      <c r="F708" s="16"/>
      <c r="G708" s="16"/>
      <c r="H708" s="16"/>
    </row>
    <row r="709" spans="1:8" x14ac:dyDescent="0.2">
      <c r="A709" s="17"/>
      <c r="B709" s="17"/>
      <c r="C709" s="16"/>
      <c r="D709" s="17"/>
      <c r="E709" s="17"/>
      <c r="F709" s="16"/>
      <c r="G709" s="16"/>
      <c r="H709" s="16"/>
    </row>
    <row r="710" spans="1:8" x14ac:dyDescent="0.2">
      <c r="A710" s="17"/>
      <c r="B710" s="17"/>
      <c r="C710" s="16"/>
      <c r="D710" s="17"/>
      <c r="E710" s="17"/>
      <c r="F710" s="16"/>
      <c r="G710" s="16"/>
      <c r="H710" s="16"/>
    </row>
    <row r="711" spans="1:8" x14ac:dyDescent="0.2">
      <c r="A711" s="17"/>
      <c r="B711" s="17"/>
      <c r="C711" s="16"/>
      <c r="D711" s="17"/>
      <c r="E711" s="17"/>
      <c r="F711" s="16"/>
      <c r="G711" s="16"/>
      <c r="H711" s="16"/>
    </row>
    <row r="712" spans="1:8" x14ac:dyDescent="0.2">
      <c r="A712" s="17"/>
      <c r="B712" s="17"/>
      <c r="C712" s="16"/>
      <c r="D712" s="17"/>
      <c r="E712" s="17"/>
      <c r="F712" s="16"/>
      <c r="G712" s="16"/>
      <c r="H712" s="16"/>
    </row>
    <row r="713" spans="1:8" x14ac:dyDescent="0.2">
      <c r="A713" s="17"/>
      <c r="B713" s="17"/>
      <c r="C713" s="16"/>
      <c r="D713" s="17"/>
      <c r="E713" s="17"/>
      <c r="F713" s="16"/>
      <c r="G713" s="16"/>
      <c r="H713" s="16"/>
    </row>
    <row r="714" spans="1:8" x14ac:dyDescent="0.2">
      <c r="A714" s="17"/>
      <c r="B714" s="17"/>
      <c r="C714" s="16"/>
      <c r="D714" s="17"/>
      <c r="E714" s="17"/>
      <c r="F714" s="16"/>
      <c r="G714" s="16"/>
      <c r="H714" s="16"/>
    </row>
    <row r="715" spans="1:8" x14ac:dyDescent="0.2">
      <c r="A715" s="17"/>
      <c r="B715" s="17"/>
      <c r="C715" s="16"/>
      <c r="D715" s="17"/>
      <c r="E715" s="17"/>
      <c r="F715" s="16"/>
      <c r="G715" s="16"/>
      <c r="H715" s="16"/>
    </row>
    <row r="716" spans="1:8" x14ac:dyDescent="0.2">
      <c r="A716" s="17"/>
      <c r="B716" s="17"/>
      <c r="C716" s="16"/>
      <c r="D716" s="17"/>
      <c r="E716" s="17"/>
      <c r="F716" s="16"/>
      <c r="G716" s="16"/>
      <c r="H716" s="16"/>
    </row>
    <row r="717" spans="1:8" x14ac:dyDescent="0.2">
      <c r="A717" s="17"/>
      <c r="B717" s="17"/>
      <c r="C717" s="16"/>
      <c r="D717" s="17"/>
      <c r="E717" s="17"/>
      <c r="F717" s="16"/>
      <c r="G717" s="16"/>
      <c r="H717" s="16"/>
    </row>
    <row r="718" spans="1:8" x14ac:dyDescent="0.2">
      <c r="A718" s="17"/>
      <c r="B718" s="17"/>
      <c r="C718" s="16"/>
      <c r="D718" s="17"/>
      <c r="E718" s="17"/>
      <c r="F718" s="16"/>
      <c r="G718" s="16"/>
      <c r="H718" s="16"/>
    </row>
    <row r="719" spans="1:8" x14ac:dyDescent="0.2">
      <c r="A719" s="17"/>
      <c r="B719" s="17"/>
      <c r="C719" s="16"/>
      <c r="D719" s="17"/>
      <c r="E719" s="17"/>
      <c r="F719" s="16"/>
      <c r="G719" s="16"/>
      <c r="H719" s="16"/>
    </row>
    <row r="720" spans="1:8" x14ac:dyDescent="0.2">
      <c r="A720" s="17"/>
      <c r="B720" s="17"/>
      <c r="C720" s="16"/>
      <c r="D720" s="17"/>
      <c r="E720" s="17"/>
      <c r="F720" s="16"/>
      <c r="G720" s="16"/>
      <c r="H720" s="16"/>
    </row>
    <row r="721" spans="1:8" x14ac:dyDescent="0.2">
      <c r="A721" s="17"/>
      <c r="B721" s="17"/>
      <c r="C721" s="16"/>
      <c r="D721" s="17"/>
      <c r="E721" s="17"/>
      <c r="F721" s="16"/>
      <c r="G721" s="16"/>
      <c r="H721" s="16"/>
    </row>
    <row r="722" spans="1:8" x14ac:dyDescent="0.2">
      <c r="A722" s="17"/>
      <c r="B722" s="17"/>
      <c r="C722" s="16"/>
      <c r="D722" s="17"/>
      <c r="E722" s="17"/>
      <c r="F722" s="16"/>
      <c r="G722" s="16"/>
      <c r="H722" s="16"/>
    </row>
    <row r="723" spans="1:8" x14ac:dyDescent="0.2">
      <c r="A723" s="17"/>
      <c r="B723" s="17"/>
      <c r="C723" s="16"/>
      <c r="D723" s="17"/>
      <c r="E723" s="17"/>
      <c r="F723" s="16"/>
      <c r="G723" s="16"/>
      <c r="H723" s="16"/>
    </row>
    <row r="724" spans="1:8" x14ac:dyDescent="0.2">
      <c r="A724" s="17"/>
      <c r="B724" s="17"/>
      <c r="C724" s="16"/>
      <c r="D724" s="17"/>
      <c r="E724" s="17"/>
      <c r="F724" s="16"/>
      <c r="G724" s="16"/>
      <c r="H724" s="16"/>
    </row>
    <row r="725" spans="1:8" x14ac:dyDescent="0.2">
      <c r="A725" s="17"/>
      <c r="B725" s="17"/>
      <c r="C725" s="16"/>
      <c r="D725" s="17"/>
      <c r="E725" s="17"/>
      <c r="F725" s="16"/>
      <c r="G725" s="16"/>
      <c r="H725" s="16"/>
    </row>
    <row r="726" spans="1:8" x14ac:dyDescent="0.2">
      <c r="A726" s="17"/>
      <c r="B726" s="17"/>
      <c r="C726" s="16"/>
      <c r="D726" s="17"/>
      <c r="E726" s="17"/>
      <c r="F726" s="16"/>
      <c r="G726" s="16"/>
      <c r="H726" s="16"/>
    </row>
    <row r="727" spans="1:8" x14ac:dyDescent="0.2">
      <c r="A727" s="17"/>
      <c r="B727" s="17"/>
      <c r="C727" s="16"/>
      <c r="D727" s="17"/>
      <c r="E727" s="17"/>
      <c r="F727" s="16"/>
      <c r="G727" s="16"/>
      <c r="H727" s="16"/>
    </row>
    <row r="728" spans="1:8" x14ac:dyDescent="0.2">
      <c r="A728" s="17"/>
      <c r="B728" s="17"/>
      <c r="C728" s="16"/>
      <c r="D728" s="17"/>
      <c r="E728" s="17"/>
      <c r="F728" s="16"/>
      <c r="G728" s="16"/>
      <c r="H728" s="16"/>
    </row>
    <row r="729" spans="1:8" x14ac:dyDescent="0.2">
      <c r="A729" s="17"/>
      <c r="B729" s="17"/>
      <c r="C729" s="16"/>
      <c r="D729" s="17"/>
      <c r="E729" s="17"/>
      <c r="F729" s="16"/>
      <c r="G729" s="16"/>
      <c r="H729" s="16"/>
    </row>
    <row r="730" spans="1:8" x14ac:dyDescent="0.2">
      <c r="A730" s="17"/>
      <c r="B730" s="17"/>
      <c r="C730" s="16"/>
      <c r="D730" s="17"/>
      <c r="E730" s="17"/>
      <c r="F730" s="16"/>
      <c r="G730" s="16"/>
      <c r="H730" s="16"/>
    </row>
    <row r="731" spans="1:8" x14ac:dyDescent="0.2">
      <c r="A731" s="17"/>
      <c r="B731" s="17"/>
      <c r="C731" s="16"/>
      <c r="D731" s="17"/>
      <c r="E731" s="17"/>
      <c r="F731" s="16"/>
      <c r="G731" s="16"/>
      <c r="H731" s="16"/>
    </row>
    <row r="732" spans="1:8" x14ac:dyDescent="0.2">
      <c r="A732" s="17"/>
      <c r="B732" s="17"/>
      <c r="C732" s="16"/>
      <c r="D732" s="17"/>
      <c r="E732" s="17"/>
      <c r="F732" s="16"/>
      <c r="G732" s="16"/>
      <c r="H732" s="16"/>
    </row>
    <row r="733" spans="1:8" x14ac:dyDescent="0.2">
      <c r="A733" s="17"/>
      <c r="B733" s="17"/>
      <c r="C733" s="16"/>
      <c r="D733" s="17"/>
      <c r="E733" s="17"/>
      <c r="F733" s="16"/>
      <c r="G733" s="16"/>
      <c r="H733" s="16"/>
    </row>
    <row r="734" spans="1:8" x14ac:dyDescent="0.2">
      <c r="A734" s="17"/>
      <c r="B734" s="17"/>
      <c r="C734" s="16"/>
      <c r="D734" s="17"/>
      <c r="E734" s="17"/>
      <c r="F734" s="16"/>
      <c r="G734" s="16"/>
      <c r="H734" s="16"/>
    </row>
    <row r="735" spans="1:8" x14ac:dyDescent="0.2">
      <c r="A735" s="17"/>
      <c r="B735" s="17"/>
      <c r="C735" s="16"/>
      <c r="D735" s="17"/>
      <c r="E735" s="17"/>
      <c r="F735" s="16"/>
      <c r="G735" s="16"/>
      <c r="H735" s="16"/>
    </row>
    <row r="736" spans="1:8" x14ac:dyDescent="0.2">
      <c r="A736" s="17"/>
      <c r="B736" s="17"/>
      <c r="C736" s="16"/>
      <c r="D736" s="17"/>
      <c r="E736" s="17"/>
      <c r="F736" s="16"/>
      <c r="G736" s="16"/>
      <c r="H736" s="16"/>
    </row>
    <row r="737" spans="1:8" x14ac:dyDescent="0.2">
      <c r="A737" s="17"/>
      <c r="B737" s="17"/>
      <c r="C737" s="16"/>
      <c r="D737" s="17"/>
      <c r="E737" s="17"/>
      <c r="F737" s="16"/>
      <c r="G737" s="16"/>
      <c r="H737" s="16"/>
    </row>
    <row r="738" spans="1:8" x14ac:dyDescent="0.2">
      <c r="A738" s="17"/>
      <c r="B738" s="17"/>
      <c r="C738" s="16"/>
      <c r="D738" s="17"/>
      <c r="E738" s="17"/>
      <c r="F738" s="16"/>
      <c r="G738" s="16"/>
      <c r="H738" s="16"/>
    </row>
    <row r="739" spans="1:8" x14ac:dyDescent="0.2">
      <c r="A739" s="17"/>
      <c r="B739" s="17"/>
      <c r="C739" s="16"/>
      <c r="D739" s="17"/>
      <c r="E739" s="17"/>
      <c r="F739" s="16"/>
      <c r="G739" s="16"/>
      <c r="H739" s="16"/>
    </row>
    <row r="740" spans="1:8" x14ac:dyDescent="0.2">
      <c r="A740" s="17"/>
      <c r="B740" s="17"/>
      <c r="C740" s="16"/>
      <c r="D740" s="17"/>
      <c r="E740" s="17"/>
      <c r="F740" s="16"/>
      <c r="G740" s="16"/>
      <c r="H740" s="16"/>
    </row>
    <row r="741" spans="1:8" x14ac:dyDescent="0.2">
      <c r="A741" s="17"/>
      <c r="B741" s="17"/>
      <c r="C741" s="16"/>
      <c r="D741" s="17"/>
      <c r="E741" s="17"/>
      <c r="F741" s="16"/>
      <c r="G741" s="16"/>
      <c r="H741" s="16"/>
    </row>
    <row r="742" spans="1:8" x14ac:dyDescent="0.2">
      <c r="A742" s="17"/>
      <c r="B742" s="17"/>
      <c r="C742" s="16"/>
      <c r="D742" s="17"/>
      <c r="E742" s="17"/>
      <c r="F742" s="16"/>
      <c r="G742" s="16"/>
      <c r="H742" s="16"/>
    </row>
    <row r="743" spans="1:8" x14ac:dyDescent="0.2">
      <c r="A743" s="17"/>
      <c r="B743" s="17"/>
      <c r="C743" s="16"/>
      <c r="D743" s="17"/>
      <c r="E743" s="17"/>
      <c r="F743" s="16"/>
      <c r="G743" s="16"/>
      <c r="H743" s="16"/>
    </row>
    <row r="744" spans="1:8" x14ac:dyDescent="0.2">
      <c r="A744" s="17"/>
      <c r="B744" s="17"/>
      <c r="C744" s="16"/>
      <c r="D744" s="17"/>
      <c r="E744" s="17"/>
      <c r="F744" s="16"/>
      <c r="G744" s="16"/>
      <c r="H744" s="16"/>
    </row>
    <row r="745" spans="1:8" x14ac:dyDescent="0.2">
      <c r="A745" s="17"/>
      <c r="B745" s="17"/>
      <c r="C745" s="16"/>
      <c r="D745" s="17"/>
      <c r="E745" s="17"/>
      <c r="F745" s="16"/>
      <c r="G745" s="16"/>
      <c r="H745" s="16"/>
    </row>
    <row r="746" spans="1:8" x14ac:dyDescent="0.2">
      <c r="A746" s="17"/>
      <c r="B746" s="17"/>
      <c r="C746" s="16"/>
      <c r="D746" s="17"/>
      <c r="E746" s="17"/>
      <c r="F746" s="16"/>
      <c r="G746" s="16"/>
      <c r="H746" s="16"/>
    </row>
    <row r="747" spans="1:8" x14ac:dyDescent="0.2">
      <c r="A747" s="17"/>
      <c r="B747" s="17"/>
      <c r="C747" s="16"/>
      <c r="D747" s="17"/>
      <c r="E747" s="17"/>
      <c r="F747" s="16"/>
      <c r="G747" s="16"/>
      <c r="H747" s="16"/>
    </row>
    <row r="748" spans="1:8" x14ac:dyDescent="0.2">
      <c r="A748" s="17"/>
      <c r="B748" s="17"/>
      <c r="C748" s="16"/>
      <c r="D748" s="17"/>
      <c r="E748" s="17"/>
      <c r="F748" s="16"/>
      <c r="G748" s="16"/>
      <c r="H748" s="16"/>
    </row>
    <row r="749" spans="1:8" x14ac:dyDescent="0.2">
      <c r="A749" s="17"/>
      <c r="B749" s="17"/>
      <c r="C749" s="16"/>
      <c r="D749" s="17"/>
      <c r="E749" s="17"/>
      <c r="F749" s="16"/>
      <c r="G749" s="16"/>
      <c r="H749" s="16"/>
    </row>
    <row r="750" spans="1:8" x14ac:dyDescent="0.2">
      <c r="A750" s="17"/>
      <c r="B750" s="17"/>
      <c r="C750" s="16"/>
      <c r="D750" s="17"/>
      <c r="E750" s="17"/>
      <c r="F750" s="16"/>
      <c r="G750" s="16"/>
      <c r="H750" s="16"/>
    </row>
    <row r="751" spans="1:8" x14ac:dyDescent="0.2">
      <c r="A751" s="17"/>
      <c r="B751" s="17"/>
      <c r="C751" s="16"/>
      <c r="D751" s="17"/>
      <c r="E751" s="17"/>
      <c r="F751" s="16"/>
      <c r="G751" s="16"/>
      <c r="H751" s="16"/>
    </row>
    <row r="752" spans="1:8" x14ac:dyDescent="0.2">
      <c r="A752" s="17"/>
      <c r="B752" s="17"/>
      <c r="C752" s="16"/>
      <c r="D752" s="17"/>
      <c r="E752" s="17"/>
      <c r="F752" s="16"/>
      <c r="G752" s="16"/>
      <c r="H752" s="16"/>
    </row>
    <row r="753" spans="1:8" x14ac:dyDescent="0.2">
      <c r="A753" s="17"/>
      <c r="B753" s="17"/>
      <c r="C753" s="16"/>
      <c r="D753" s="17"/>
      <c r="E753" s="17"/>
      <c r="F753" s="16"/>
      <c r="G753" s="16"/>
      <c r="H753" s="16"/>
    </row>
    <row r="754" spans="1:8" x14ac:dyDescent="0.2">
      <c r="A754" s="17"/>
      <c r="B754" s="17"/>
      <c r="C754" s="16"/>
      <c r="D754" s="17"/>
      <c r="E754" s="17"/>
      <c r="F754" s="16"/>
      <c r="G754" s="16"/>
      <c r="H754" s="16"/>
    </row>
    <row r="755" spans="1:8" x14ac:dyDescent="0.2">
      <c r="A755" s="17"/>
      <c r="B755" s="17"/>
      <c r="C755" s="16"/>
      <c r="D755" s="17"/>
      <c r="E755" s="17"/>
      <c r="F755" s="16"/>
      <c r="G755" s="16"/>
      <c r="H755" s="16"/>
    </row>
    <row r="756" spans="1:8" x14ac:dyDescent="0.2">
      <c r="A756" s="17"/>
      <c r="B756" s="17"/>
      <c r="C756" s="16"/>
      <c r="D756" s="17"/>
      <c r="E756" s="17"/>
      <c r="F756" s="16"/>
      <c r="G756" s="16"/>
      <c r="H756" s="16"/>
    </row>
    <row r="757" spans="1:8" x14ac:dyDescent="0.2">
      <c r="A757" s="17"/>
      <c r="B757" s="17"/>
      <c r="C757" s="16"/>
      <c r="D757" s="17"/>
      <c r="E757" s="17"/>
      <c r="F757" s="16"/>
      <c r="G757" s="16"/>
      <c r="H757" s="16"/>
    </row>
    <row r="758" spans="1:8" x14ac:dyDescent="0.2">
      <c r="A758" s="17"/>
      <c r="B758" s="17"/>
      <c r="C758" s="16"/>
      <c r="D758" s="17"/>
      <c r="E758" s="17"/>
      <c r="F758" s="16"/>
      <c r="G758" s="16"/>
      <c r="H758" s="16"/>
    </row>
    <row r="759" spans="1:8" x14ac:dyDescent="0.2">
      <c r="A759" s="17"/>
      <c r="B759" s="17"/>
      <c r="C759" s="16"/>
      <c r="D759" s="17"/>
      <c r="E759" s="17"/>
      <c r="F759" s="16"/>
      <c r="G759" s="16"/>
      <c r="H759" s="16"/>
    </row>
    <row r="760" spans="1:8" x14ac:dyDescent="0.2">
      <c r="A760" s="17"/>
      <c r="B760" s="17"/>
      <c r="C760" s="16"/>
      <c r="D760" s="17"/>
      <c r="E760" s="17"/>
      <c r="F760" s="16"/>
      <c r="G760" s="16"/>
      <c r="H760" s="16"/>
    </row>
    <row r="761" spans="1:8" x14ac:dyDescent="0.2">
      <c r="A761" s="17"/>
      <c r="B761" s="17"/>
      <c r="C761" s="16"/>
      <c r="D761" s="17"/>
      <c r="E761" s="17"/>
      <c r="F761" s="16"/>
      <c r="G761" s="16"/>
      <c r="H761" s="16"/>
    </row>
  </sheetData>
  <autoFilter ref="A1:L544">
    <filterColumn colId="9">
      <filters>
        <dateGroupItem year="2017" month="6" dateTimeGrouping="month"/>
      </filters>
    </filterColumn>
    <filterColumn colId="11">
      <customFilters>
        <customFilter operator="notEqual" val=" "/>
      </customFilters>
    </filterColumn>
  </autoFilter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Page 1</vt:lpstr>
      <vt:lpstr>Holidays</vt:lpstr>
      <vt:lpstr>Page 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Thomas [USA]</dc:creator>
  <cp:lastModifiedBy>jkelly</cp:lastModifiedBy>
  <dcterms:created xsi:type="dcterms:W3CDTF">2015-02-24T14:52:04Z</dcterms:created>
  <dcterms:modified xsi:type="dcterms:W3CDTF">2017-06-12T23:10:03Z</dcterms:modified>
</cp:coreProperties>
</file>